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yubchoudhury/Downloads/"/>
    </mc:Choice>
  </mc:AlternateContent>
  <xr:revisionPtr revIDLastSave="0" documentId="8_{4360EE55-71F8-9242-9388-5D2C5FFC8A04}" xr6:coauthVersionLast="47" xr6:coauthVersionMax="47" xr10:uidLastSave="{00000000-0000-0000-0000-000000000000}"/>
  <bookViews>
    <workbookView xWindow="11720" yWindow="0" windowWidth="17080" windowHeight="18000" activeTab="3" xr2:uid="{B97DE4DA-2A33-AD48-B454-6343907B9852}"/>
  </bookViews>
  <sheets>
    <sheet name="AMZN" sheetId="1" r:id="rId1"/>
    <sheet name="AAPL" sheetId="2" r:id="rId2"/>
    <sheet name="NVDA" sheetId="3" r:id="rId3"/>
    <sheet name="Covariance &amp; GMVP" sheetId="5" r:id="rId4"/>
    <sheet name="ORP &amp; OCP" sheetId="9" r:id="rId5"/>
  </sheets>
  <functionGroups builtInGroupCount="19"/>
  <definedNames>
    <definedName name="_xleta.SUM" hidden="1" xlm="1">#NAME?</definedName>
    <definedName name="solver_adj" localSheetId="3" hidden="1">'Covariance &amp; GMVP'!$O$2:$O$4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itr" localSheetId="3" hidden="1">2147483647</definedName>
    <definedName name="solver_lhs1" localSheetId="3" hidden="1">'Covariance &amp; GMVP'!$O$2:$O$4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1</definedName>
    <definedName name="solver_opt" localSheetId="3" hidden="1">'Covariance &amp; GMVP'!$N$6</definedName>
    <definedName name="solver_pre" localSheetId="3" hidden="1">0.000001</definedName>
    <definedName name="solver_rbv" localSheetId="3" hidden="1">2</definedName>
    <definedName name="solver_rel1" localSheetId="3" hidden="1">2</definedName>
    <definedName name="solver_rhs1" localSheetId="3" hidden="1">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9" l="1"/>
  <c r="F2" i="9"/>
  <c r="H2" i="3"/>
  <c r="N6" i="5" a="1"/>
  <c r="N6" i="5" s="1"/>
  <c r="L5" i="5"/>
  <c r="K4" i="5"/>
  <c r="J3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2" i="5"/>
  <c r="G13" i="3"/>
  <c r="G13" i="2"/>
  <c r="G13" i="1"/>
  <c r="G12" i="3"/>
  <c r="G12" i="2"/>
  <c r="G12" i="1"/>
  <c r="I9" i="3"/>
  <c r="I9" i="2"/>
  <c r="I9" i="1"/>
  <c r="I8" i="3"/>
  <c r="I8" i="2"/>
  <c r="I8" i="1"/>
  <c r="I7" i="3"/>
  <c r="I7" i="2"/>
  <c r="I7" i="1"/>
  <c r="I6" i="3"/>
  <c r="I6" i="2"/>
  <c r="I6" i="1"/>
  <c r="I5" i="3"/>
  <c r="I5" i="2"/>
  <c r="I5" i="1"/>
  <c r="I4" i="1"/>
  <c r="I4" i="3"/>
  <c r="I4" i="2"/>
  <c r="I3" i="3"/>
  <c r="I3" i="2"/>
  <c r="I3" i="1"/>
  <c r="I2" i="3"/>
  <c r="I2" i="2"/>
  <c r="I2" i="1"/>
  <c r="H9" i="3"/>
  <c r="H9" i="2"/>
  <c r="H9" i="1"/>
  <c r="H8" i="1"/>
  <c r="H8" i="3"/>
  <c r="H8" i="2"/>
  <c r="H7" i="3"/>
  <c r="H7" i="2"/>
  <c r="H7" i="1"/>
  <c r="H6" i="3"/>
  <c r="H6" i="2"/>
  <c r="H6" i="1"/>
  <c r="H5" i="3"/>
  <c r="H5" i="2"/>
  <c r="H5" i="1"/>
  <c r="H4" i="3"/>
  <c r="H4" i="2"/>
  <c r="H4" i="1"/>
  <c r="H3" i="3"/>
  <c r="H3" i="1"/>
  <c r="H2" i="2"/>
  <c r="H2" i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3" i="3"/>
  <c r="D3" i="2"/>
  <c r="D3" i="1"/>
  <c r="C127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3" i="3"/>
  <c r="C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3" i="2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G14" i="2" a="1"/>
  <c r="G14" i="1" a="1"/>
  <c r="G14" i="3" a="1"/>
  <c r="G14" i="1" l="1"/>
  <c r="G14" i="2"/>
  <c r="G1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<sst xmlns="http://schemas.openxmlformats.org/spreadsheetml/2006/main" count="79" uniqueCount="23">
  <si>
    <t>Date</t>
  </si>
  <si>
    <t>Closing Price</t>
  </si>
  <si>
    <t>Mean</t>
  </si>
  <si>
    <t>Median</t>
  </si>
  <si>
    <t>Standard Deviation</t>
  </si>
  <si>
    <t>Sample Variance</t>
  </si>
  <si>
    <t>Kurtosis</t>
  </si>
  <si>
    <t>Skewness</t>
  </si>
  <si>
    <t>Minimum</t>
  </si>
  <si>
    <t>Maximum</t>
  </si>
  <si>
    <t>Descriptive Stats</t>
  </si>
  <si>
    <t>Return</t>
  </si>
  <si>
    <t>Log Return</t>
  </si>
  <si>
    <t xml:space="preserve">Log Return </t>
  </si>
  <si>
    <t>Annualised</t>
  </si>
  <si>
    <t>Annualised Return</t>
  </si>
  <si>
    <t>CAGR</t>
  </si>
  <si>
    <t>Annualised Volatility (VBA)</t>
  </si>
  <si>
    <t>AAPL</t>
  </si>
  <si>
    <t>AMZN</t>
  </si>
  <si>
    <t>NVDA</t>
  </si>
  <si>
    <t>Exp. Return</t>
  </si>
  <si>
    <t>ST.DEV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</si>
</sst>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00"/>
    <numFmt numFmtId="166" formatCode="0.0000%"/>
    <numFmt numFmtId="167" formatCode="0.00000000"/>
  </numFmts>
  <fonts count="4" x14ac:knownFonts="1">
    <font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Continuous"/>
    </xf>
    <xf numFmtId="164" fontId="0" fillId="0" borderId="0" xfId="0" applyNumberFormat="1"/>
    <xf numFmtId="165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10" fontId="0" fillId="0" borderId="0" xfId="0" applyNumberFormat="1"/>
    <xf numFmtId="164" fontId="0" fillId="0" borderId="0" xfId="1" applyNumberFormat="1" applyFont="1"/>
    <xf numFmtId="166" fontId="0" fillId="0" borderId="0" xfId="1" applyNumberFormat="1" applyFont="1" applyFill="1" applyBorder="1" applyAlignment="1"/>
    <xf numFmtId="0" fontId="1" fillId="0" borderId="0" xfId="0" applyFont="1" applyAlignment="1">
      <alignment horizontal="center"/>
    </xf>
    <xf numFmtId="166" fontId="1" fillId="0" borderId="0" xfId="1" applyNumberFormat="1" applyFont="1" applyFill="1" applyBorder="1" applyAlignment="1">
      <alignment horizontal="center"/>
    </xf>
    <xf numFmtId="167" fontId="0" fillId="0" borderId="0" xfId="0" applyNumberFormat="1"/>
    <xf numFmtId="167" fontId="0" fillId="0" borderId="1" xfId="0" applyNumberFormat="1" applyBorder="1"/>
    <xf numFmtId="0" fontId="3" fillId="0" borderId="0" xfId="0" applyFont="1" applyAlignment="1">
      <alignment horizontal="left"/>
    </xf>
    <xf numFmtId="0" fontId="3" fillId="0" borderId="2" xfId="0" applyFont="1" applyBorder="1" applyAlignment="1">
      <alignment horizontal="center"/>
    </xf>
    <xf numFmtId="0" fontId="0" fillId="0" borderId="0" xfId="1" applyNumberFormat="1" applyFont="1"/>
    <xf numFmtId="0" fontId="3" fillId="0" borderId="0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Border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85A6-E3F8-314C-8ACC-2CE00B085285}">
  <sheetPr codeName="Sheet1"/>
  <dimension ref="A1:I127"/>
  <sheetViews>
    <sheetView zoomScaleNormal="100" workbookViewId="0">
      <selection activeCell="C3" sqref="C3"/>
    </sheetView>
  </sheetViews>
  <sheetFormatPr baseColWidth="10" defaultRowHeight="16" x14ac:dyDescent="0.2"/>
  <cols>
    <col min="1" max="1" width="13.83203125" customWidth="1"/>
    <col min="2" max="2" width="14.5" customWidth="1"/>
    <col min="4" max="4" width="16.83203125" bestFit="1" customWidth="1"/>
    <col min="5" max="5" width="12.6640625" bestFit="1" customWidth="1"/>
    <col min="6" max="6" width="24.83203125" customWidth="1"/>
    <col min="7" max="7" width="12.33203125" customWidth="1"/>
    <col min="8" max="8" width="12.6640625" bestFit="1" customWidth="1"/>
  </cols>
  <sheetData>
    <row r="1" spans="1:9" x14ac:dyDescent="0.2">
      <c r="A1" t="s">
        <v>0</v>
      </c>
      <c r="B1" t="s">
        <v>1</v>
      </c>
      <c r="C1" t="s">
        <v>11</v>
      </c>
      <c r="D1" t="s">
        <v>12</v>
      </c>
      <c r="F1" t="s">
        <v>10</v>
      </c>
      <c r="G1" s="5"/>
      <c r="H1" t="s">
        <v>11</v>
      </c>
      <c r="I1" t="s">
        <v>12</v>
      </c>
    </row>
    <row r="2" spans="1:9" x14ac:dyDescent="0.2">
      <c r="A2" s="1">
        <v>45524</v>
      </c>
      <c r="B2" s="2">
        <v>178.88</v>
      </c>
      <c r="F2" t="s">
        <v>2</v>
      </c>
      <c r="G2" s="2">
        <v>205.92801587301577</v>
      </c>
      <c r="H2" s="7">
        <f>AVERAGE(C3:C127)</f>
        <v>1.9112164642329623E-3</v>
      </c>
      <c r="I2" s="9">
        <f>AVERAGE(D3:D127)</f>
        <v>1.7593465605180891E-3</v>
      </c>
    </row>
    <row r="3" spans="1:9" x14ac:dyDescent="0.2">
      <c r="A3" s="1">
        <v>45525</v>
      </c>
      <c r="B3" s="2">
        <v>180.11</v>
      </c>
      <c r="C3" s="8">
        <f>(B3-B2)/B2</f>
        <v>6.8761180679786354E-3</v>
      </c>
      <c r="D3" s="8">
        <f>LN(B3/B2)</f>
        <v>6.8525853822318438E-3</v>
      </c>
      <c r="F3" t="s">
        <v>3</v>
      </c>
      <c r="G3" s="2">
        <v>206.29000000000002</v>
      </c>
      <c r="H3" s="9">
        <f>MEDIAN(C3:C127)</f>
        <v>6.2244353547934725E-4</v>
      </c>
      <c r="I3" s="9">
        <f>MEDIAN(D3:D127)</f>
        <v>6.2224989785008612E-4</v>
      </c>
    </row>
    <row r="4" spans="1:9" x14ac:dyDescent="0.2">
      <c r="A4" s="1">
        <v>45526</v>
      </c>
      <c r="B4" s="2">
        <v>176.13</v>
      </c>
      <c r="C4" s="8">
        <f t="shared" ref="C4:C67" si="0">(B4-B3)/B3</f>
        <v>-2.2097607017933583E-2</v>
      </c>
      <c r="D4" s="8">
        <f t="shared" ref="D4:D67" si="1">LN(B4/B3)</f>
        <v>-2.2345416604761997E-2</v>
      </c>
      <c r="F4" t="s">
        <v>4</v>
      </c>
      <c r="G4" s="2">
        <v>20.896326491318963</v>
      </c>
      <c r="H4">
        <f>_xlfn.STDEV.S(C3:C127)</f>
        <v>1.7418820760354801E-2</v>
      </c>
      <c r="I4">
        <f>_xlfn.STDEV.S(D3:D127)</f>
        <v>1.7397452241282828E-2</v>
      </c>
    </row>
    <row r="5" spans="1:9" x14ac:dyDescent="0.2">
      <c r="A5" s="1">
        <v>45527</v>
      </c>
      <c r="B5" s="2">
        <v>177.04</v>
      </c>
      <c r="C5" s="8">
        <f t="shared" si="0"/>
        <v>5.1666382785442375E-3</v>
      </c>
      <c r="D5" s="8">
        <f t="shared" si="1"/>
        <v>5.1533369985899604E-3</v>
      </c>
      <c r="F5" t="s">
        <v>5</v>
      </c>
      <c r="G5" s="2">
        <v>436.6564608317986</v>
      </c>
      <c r="H5">
        <f>_xlfn.VAR.S(C3:C127)</f>
        <v>3.0341531668136746E-4</v>
      </c>
      <c r="I5">
        <f>_xlfn.VAR.S(D3:D127)</f>
        <v>3.0267134448771691E-4</v>
      </c>
    </row>
    <row r="6" spans="1:9" x14ac:dyDescent="0.2">
      <c r="A6" s="1">
        <v>45530</v>
      </c>
      <c r="B6" s="2">
        <v>175.5</v>
      </c>
      <c r="C6" s="8">
        <f t="shared" si="0"/>
        <v>-8.6985991866244464E-3</v>
      </c>
      <c r="D6" s="8">
        <f t="shared" si="1"/>
        <v>-8.7366528368736374E-3</v>
      </c>
      <c r="F6" t="s">
        <v>6</v>
      </c>
      <c r="G6" s="2">
        <v>-1.4524767727978678</v>
      </c>
      <c r="H6">
        <f>KURT(C3:C127)</f>
        <v>0.78504504493150007</v>
      </c>
      <c r="I6">
        <f>KURT(D3:D127)</f>
        <v>0.75345198075807085</v>
      </c>
    </row>
    <row r="7" spans="1:9" x14ac:dyDescent="0.2">
      <c r="A7" s="1">
        <v>45531</v>
      </c>
      <c r="B7" s="2">
        <v>173.12</v>
      </c>
      <c r="C7" s="8">
        <f t="shared" si="0"/>
        <v>-1.3561253561253536E-2</v>
      </c>
      <c r="D7" s="8">
        <f t="shared" si="1"/>
        <v>-1.3654047247803721E-2</v>
      </c>
      <c r="F7" t="s">
        <v>7</v>
      </c>
      <c r="G7" s="2">
        <v>2.1251311808980662E-2</v>
      </c>
      <c r="H7">
        <f>SKEW(C3:C127)</f>
        <v>-2.4789747150377701E-2</v>
      </c>
      <c r="I7">
        <f>SKEW(D3:D127)</f>
        <v>-9.5354891414398762E-2</v>
      </c>
    </row>
    <row r="8" spans="1:9" x14ac:dyDescent="0.2">
      <c r="A8" s="1">
        <v>45532</v>
      </c>
      <c r="B8" s="2">
        <v>170.8</v>
      </c>
      <c r="C8" s="8">
        <f t="shared" si="0"/>
        <v>-1.3401109057301254E-2</v>
      </c>
      <c r="D8" s="8">
        <f t="shared" si="1"/>
        <v>-1.3491714303647215E-2</v>
      </c>
      <c r="F8" t="s">
        <v>8</v>
      </c>
      <c r="G8" s="2">
        <v>170.8</v>
      </c>
      <c r="H8" s="9">
        <f>MIN(C3:C127)</f>
        <v>-4.5987454034176922E-2</v>
      </c>
      <c r="I8" s="9">
        <f>MIN(D3:D127)</f>
        <v>-4.7078456712751592E-2</v>
      </c>
    </row>
    <row r="9" spans="1:9" x14ac:dyDescent="0.2">
      <c r="A9" s="1">
        <v>45533</v>
      </c>
      <c r="B9" s="2">
        <v>172.12</v>
      </c>
      <c r="C9" s="8">
        <f t="shared" si="0"/>
        <v>7.7283372365339175E-3</v>
      </c>
      <c r="D9" s="8">
        <f t="shared" si="1"/>
        <v>7.6986266159294299E-3</v>
      </c>
      <c r="F9" t="s">
        <v>9</v>
      </c>
      <c r="G9" s="2">
        <v>242.06</v>
      </c>
      <c r="H9" s="9">
        <f>MAX(C3:C127)</f>
        <v>6.1856223175965667E-2</v>
      </c>
      <c r="I9" s="9">
        <f>MAX(D3:D127)</f>
        <v>6.0018530581152883E-2</v>
      </c>
    </row>
    <row r="10" spans="1:9" x14ac:dyDescent="0.2">
      <c r="A10" s="1">
        <v>45534</v>
      </c>
      <c r="B10" s="2">
        <v>178.5</v>
      </c>
      <c r="C10" s="8">
        <f t="shared" si="0"/>
        <v>3.7067162444805922E-2</v>
      </c>
      <c r="D10" s="8">
        <f t="shared" si="1"/>
        <v>3.639669324929494E-2</v>
      </c>
    </row>
    <row r="11" spans="1:9" x14ac:dyDescent="0.2">
      <c r="A11" s="1">
        <v>45538</v>
      </c>
      <c r="B11" s="2">
        <v>176.25</v>
      </c>
      <c r="C11" s="8">
        <f t="shared" si="0"/>
        <v>-1.2605042016806723E-2</v>
      </c>
      <c r="D11" s="8">
        <f t="shared" si="1"/>
        <v>-1.2685159527315687E-2</v>
      </c>
      <c r="G11" t="s">
        <v>14</v>
      </c>
    </row>
    <row r="12" spans="1:9" x14ac:dyDescent="0.2">
      <c r="A12" s="1">
        <v>45539</v>
      </c>
      <c r="B12" s="2">
        <v>173.33</v>
      </c>
      <c r="C12" s="8">
        <f t="shared" si="0"/>
        <v>-1.6567375886524752E-2</v>
      </c>
      <c r="D12" s="8">
        <f t="shared" si="1"/>
        <v>-1.670614973915904E-2</v>
      </c>
      <c r="F12" t="s">
        <v>15</v>
      </c>
      <c r="G12">
        <f>H2*127</f>
        <v>0.24272449095758622</v>
      </c>
    </row>
    <row r="13" spans="1:9" x14ac:dyDescent="0.2">
      <c r="A13" s="1">
        <v>45540</v>
      </c>
      <c r="B13" s="2">
        <v>177.89</v>
      </c>
      <c r="C13" s="8">
        <f t="shared" si="0"/>
        <v>2.6308198234581283E-2</v>
      </c>
      <c r="D13" s="8">
        <f t="shared" si="1"/>
        <v>2.5968089783959206E-2</v>
      </c>
      <c r="F13" t="s">
        <v>16</v>
      </c>
      <c r="G13" s="6">
        <f>(B127/B2)*(127/126)-1</f>
        <v>0.25586364539852924</v>
      </c>
    </row>
    <row r="14" spans="1:9" x14ac:dyDescent="0.2">
      <c r="A14" s="1">
        <v>45541</v>
      </c>
      <c r="B14" s="2">
        <v>171.39</v>
      </c>
      <c r="C14" s="8">
        <f t="shared" si="0"/>
        <v>-3.6539434481983248E-2</v>
      </c>
      <c r="D14" s="8">
        <f t="shared" si="1"/>
        <v>-3.7223720332697573E-2</v>
      </c>
      <c r="F14" t="s">
        <v>17</v>
      </c>
      <c r="G14" s="12" cm="1">
        <f t="array" ref="G14">annualizedVolatility(B2:B127)</f>
        <v>0.19605932966819012</v>
      </c>
    </row>
    <row r="15" spans="1:9" x14ac:dyDescent="0.2">
      <c r="A15" s="1">
        <v>45544</v>
      </c>
      <c r="B15" s="2">
        <v>175.4</v>
      </c>
      <c r="C15" s="8">
        <f t="shared" si="0"/>
        <v>2.3396930976136411E-2</v>
      </c>
      <c r="D15" s="8">
        <f t="shared" si="1"/>
        <v>2.3127418533601885E-2</v>
      </c>
    </row>
    <row r="16" spans="1:9" x14ac:dyDescent="0.2">
      <c r="A16" s="1">
        <v>45545</v>
      </c>
      <c r="B16" s="2">
        <v>179.55</v>
      </c>
      <c r="C16" s="8">
        <f t="shared" si="0"/>
        <v>2.3660205245153967E-2</v>
      </c>
      <c r="D16" s="8">
        <f t="shared" si="1"/>
        <v>2.3384640734009244E-2</v>
      </c>
      <c r="F16" s="13"/>
      <c r="G16" s="13"/>
    </row>
    <row r="17" spans="1:4" x14ac:dyDescent="0.2">
      <c r="A17" s="1">
        <v>45546</v>
      </c>
      <c r="B17" s="2">
        <v>184.52</v>
      </c>
      <c r="C17" s="8">
        <f t="shared" si="0"/>
        <v>2.7680311890838197E-2</v>
      </c>
      <c r="D17" s="8">
        <f t="shared" si="1"/>
        <v>2.7304138017527915E-2</v>
      </c>
    </row>
    <row r="18" spans="1:4" x14ac:dyDescent="0.2">
      <c r="A18" s="1">
        <v>45547</v>
      </c>
      <c r="B18" s="2">
        <v>187</v>
      </c>
      <c r="C18" s="8">
        <f t="shared" si="0"/>
        <v>1.3440277476696237E-2</v>
      </c>
      <c r="D18" s="8">
        <f t="shared" si="1"/>
        <v>1.3350758164966741E-2</v>
      </c>
    </row>
    <row r="19" spans="1:4" x14ac:dyDescent="0.2">
      <c r="A19" s="1">
        <v>45548</v>
      </c>
      <c r="B19" s="2">
        <v>186.49</v>
      </c>
      <c r="C19" s="8">
        <f t="shared" si="0"/>
        <v>-2.7272727272726785E-3</v>
      </c>
      <c r="D19" s="8">
        <f t="shared" si="1"/>
        <v>-2.7309985112316283E-3</v>
      </c>
    </row>
    <row r="20" spans="1:4" x14ac:dyDescent="0.2">
      <c r="A20" s="1">
        <v>45551</v>
      </c>
      <c r="B20" s="2">
        <v>184.89</v>
      </c>
      <c r="C20" s="8">
        <f t="shared" si="0"/>
        <v>-8.5795485012602427E-3</v>
      </c>
      <c r="D20" s="8">
        <f t="shared" si="1"/>
        <v>-8.6165647010935618E-3</v>
      </c>
    </row>
    <row r="21" spans="1:4" x14ac:dyDescent="0.2">
      <c r="A21" s="1">
        <v>45552</v>
      </c>
      <c r="B21" s="2">
        <v>186.88</v>
      </c>
      <c r="C21" s="8">
        <f t="shared" si="0"/>
        <v>1.0763156471415486E-2</v>
      </c>
      <c r="D21" s="8">
        <f t="shared" si="1"/>
        <v>1.070564599760079E-2</v>
      </c>
    </row>
    <row r="22" spans="1:4" x14ac:dyDescent="0.2">
      <c r="A22" s="1">
        <v>45553</v>
      </c>
      <c r="B22" s="2">
        <v>186.43</v>
      </c>
      <c r="C22" s="8">
        <f t="shared" si="0"/>
        <v>-2.4079623287670627E-3</v>
      </c>
      <c r="D22" s="8">
        <f t="shared" si="1"/>
        <v>-2.410866132492018E-3</v>
      </c>
    </row>
    <row r="23" spans="1:4" x14ac:dyDescent="0.2">
      <c r="A23" s="1">
        <v>45554</v>
      </c>
      <c r="B23" s="2">
        <v>189.87</v>
      </c>
      <c r="C23" s="8">
        <f t="shared" si="0"/>
        <v>1.8451965885318874E-2</v>
      </c>
      <c r="D23" s="8">
        <f t="shared" si="1"/>
        <v>1.8283793947953479E-2</v>
      </c>
    </row>
    <row r="24" spans="1:4" x14ac:dyDescent="0.2">
      <c r="A24" s="1">
        <v>45555</v>
      </c>
      <c r="B24" s="2">
        <v>191.6</v>
      </c>
      <c r="C24" s="8">
        <f t="shared" si="0"/>
        <v>9.1114973402854037E-3</v>
      </c>
      <c r="D24" s="8">
        <f t="shared" si="1"/>
        <v>9.070238081436522E-3</v>
      </c>
    </row>
    <row r="25" spans="1:4" x14ac:dyDescent="0.2">
      <c r="A25" s="1">
        <v>45558</v>
      </c>
      <c r="B25" s="2">
        <v>193.88</v>
      </c>
      <c r="C25" s="8">
        <f t="shared" si="0"/>
        <v>1.1899791231732782E-2</v>
      </c>
      <c r="D25" s="8">
        <f t="shared" si="1"/>
        <v>1.1829545440414976E-2</v>
      </c>
    </row>
    <row r="26" spans="1:4" x14ac:dyDescent="0.2">
      <c r="A26" s="1">
        <v>45559</v>
      </c>
      <c r="B26" s="2">
        <v>193.96</v>
      </c>
      <c r="C26" s="8">
        <f t="shared" si="0"/>
        <v>4.1262636682490463E-4</v>
      </c>
      <c r="D26" s="8">
        <f t="shared" si="1"/>
        <v>4.1254125997637956E-4</v>
      </c>
    </row>
    <row r="27" spans="1:4" x14ac:dyDescent="0.2">
      <c r="A27" s="1">
        <v>45560</v>
      </c>
      <c r="B27" s="2">
        <v>192.53</v>
      </c>
      <c r="C27" s="8">
        <f t="shared" si="0"/>
        <v>-7.3726541554960138E-3</v>
      </c>
      <c r="D27" s="8">
        <f t="shared" si="1"/>
        <v>-7.3999664959074384E-3</v>
      </c>
    </row>
    <row r="28" spans="1:4" x14ac:dyDescent="0.2">
      <c r="A28" s="1">
        <v>45561</v>
      </c>
      <c r="B28" s="2">
        <v>191.16</v>
      </c>
      <c r="C28" s="8">
        <f t="shared" si="0"/>
        <v>-7.1157741650652081E-3</v>
      </c>
      <c r="D28" s="8">
        <f t="shared" si="1"/>
        <v>-7.141212031286758E-3</v>
      </c>
    </row>
    <row r="29" spans="1:4" x14ac:dyDescent="0.2">
      <c r="A29" s="1">
        <v>45562</v>
      </c>
      <c r="B29" s="2">
        <v>187.97</v>
      </c>
      <c r="C29" s="8">
        <f t="shared" si="0"/>
        <v>-1.6687591546348596E-2</v>
      </c>
      <c r="D29" s="8">
        <f t="shared" si="1"/>
        <v>-1.6828398081453401E-2</v>
      </c>
    </row>
    <row r="30" spans="1:4" x14ac:dyDescent="0.2">
      <c r="A30" s="1">
        <v>45565</v>
      </c>
      <c r="B30" s="2">
        <v>186.33</v>
      </c>
      <c r="C30" s="8">
        <f t="shared" si="0"/>
        <v>-8.7247965100813226E-3</v>
      </c>
      <c r="D30" s="8">
        <f t="shared" si="1"/>
        <v>-8.7630803891826266E-3</v>
      </c>
    </row>
    <row r="31" spans="1:4" x14ac:dyDescent="0.2">
      <c r="A31" s="1">
        <v>45566</v>
      </c>
      <c r="B31" s="2">
        <v>185.13</v>
      </c>
      <c r="C31" s="8">
        <f t="shared" si="0"/>
        <v>-6.4401867654162882E-3</v>
      </c>
      <c r="D31" s="8">
        <f t="shared" si="1"/>
        <v>-6.4610142382361662E-3</v>
      </c>
    </row>
    <row r="32" spans="1:4" x14ac:dyDescent="0.2">
      <c r="A32" s="1">
        <v>45567</v>
      </c>
      <c r="B32" s="2">
        <v>184.76</v>
      </c>
      <c r="C32" s="8">
        <f t="shared" si="0"/>
        <v>-1.9985955814833065E-3</v>
      </c>
      <c r="D32" s="8">
        <f t="shared" si="1"/>
        <v>-2.0005954386805615E-3</v>
      </c>
    </row>
    <row r="33" spans="1:4" x14ac:dyDescent="0.2">
      <c r="A33" s="1">
        <v>45568</v>
      </c>
      <c r="B33" s="2">
        <v>181.96</v>
      </c>
      <c r="C33" s="8">
        <f t="shared" si="0"/>
        <v>-1.515479541026187E-2</v>
      </c>
      <c r="D33" s="8">
        <f t="shared" si="1"/>
        <v>-1.5270802860601217E-2</v>
      </c>
    </row>
    <row r="34" spans="1:4" x14ac:dyDescent="0.2">
      <c r="A34" s="1">
        <v>45569</v>
      </c>
      <c r="B34" s="2">
        <v>186.51</v>
      </c>
      <c r="C34" s="8">
        <f t="shared" si="0"/>
        <v>2.5005495713343498E-2</v>
      </c>
      <c r="D34" s="8">
        <f t="shared" si="1"/>
        <v>2.4697974247552355E-2</v>
      </c>
    </row>
    <row r="35" spans="1:4" x14ac:dyDescent="0.2">
      <c r="A35" s="1">
        <v>45572</v>
      </c>
      <c r="B35" s="2">
        <v>180.8</v>
      </c>
      <c r="C35" s="8">
        <f t="shared" si="0"/>
        <v>-3.0614980430003644E-2</v>
      </c>
      <c r="D35" s="8">
        <f t="shared" si="1"/>
        <v>-3.1093408991279631E-2</v>
      </c>
    </row>
    <row r="36" spans="1:4" x14ac:dyDescent="0.2">
      <c r="A36" s="1">
        <v>45573</v>
      </c>
      <c r="B36" s="2">
        <v>182.72</v>
      </c>
      <c r="C36" s="8">
        <f t="shared" si="0"/>
        <v>1.0619469026548603E-2</v>
      </c>
      <c r="D36" s="8">
        <f t="shared" si="1"/>
        <v>1.0563478509569246E-2</v>
      </c>
    </row>
    <row r="37" spans="1:4" x14ac:dyDescent="0.2">
      <c r="A37" s="1">
        <v>45574</v>
      </c>
      <c r="B37" s="2">
        <v>185.17</v>
      </c>
      <c r="C37" s="8">
        <f t="shared" si="0"/>
        <v>1.340849387040274E-2</v>
      </c>
      <c r="D37" s="8">
        <f t="shared" si="1"/>
        <v>1.3319395582079016E-2</v>
      </c>
    </row>
    <row r="38" spans="1:4" x14ac:dyDescent="0.2">
      <c r="A38" s="1">
        <v>45575</v>
      </c>
      <c r="B38" s="2">
        <v>186.65</v>
      </c>
      <c r="C38" s="8">
        <f t="shared" si="0"/>
        <v>7.9926553977427133E-3</v>
      </c>
      <c r="D38" s="8">
        <f t="shared" si="1"/>
        <v>7.9608833108684232E-3</v>
      </c>
    </row>
    <row r="39" spans="1:4" x14ac:dyDescent="0.2">
      <c r="A39" s="1">
        <v>45576</v>
      </c>
      <c r="B39" s="2">
        <v>188.82</v>
      </c>
      <c r="C39" s="8">
        <f t="shared" si="0"/>
        <v>1.1626038039110567E-2</v>
      </c>
      <c r="D39" s="8">
        <f t="shared" si="1"/>
        <v>1.1558974943777681E-2</v>
      </c>
    </row>
    <row r="40" spans="1:4" x14ac:dyDescent="0.2">
      <c r="A40" s="1">
        <v>45579</v>
      </c>
      <c r="B40" s="2">
        <v>187.54</v>
      </c>
      <c r="C40" s="8">
        <f t="shared" si="0"/>
        <v>-6.7789429085901983E-3</v>
      </c>
      <c r="D40" s="8">
        <f t="shared" si="1"/>
        <v>-6.8020243128913537E-3</v>
      </c>
    </row>
    <row r="41" spans="1:4" x14ac:dyDescent="0.2">
      <c r="A41" s="1">
        <v>45580</v>
      </c>
      <c r="B41" s="2">
        <v>187.69</v>
      </c>
      <c r="C41" s="8">
        <f t="shared" si="0"/>
        <v>7.9982936973448701E-4</v>
      </c>
      <c r="D41" s="8">
        <f t="shared" si="1"/>
        <v>7.9950967667933388E-4</v>
      </c>
    </row>
    <row r="42" spans="1:4" x14ac:dyDescent="0.2">
      <c r="A42" s="1">
        <v>45581</v>
      </c>
      <c r="B42" s="2">
        <v>186.89</v>
      </c>
      <c r="C42" s="8">
        <f t="shared" si="0"/>
        <v>-4.2623474878790103E-3</v>
      </c>
      <c r="D42" s="8">
        <f t="shared" si="1"/>
        <v>-4.2714571859473289E-3</v>
      </c>
    </row>
    <row r="43" spans="1:4" x14ac:dyDescent="0.2">
      <c r="A43" s="1">
        <v>45582</v>
      </c>
      <c r="B43" s="2">
        <v>187.53</v>
      </c>
      <c r="C43" s="8">
        <f t="shared" si="0"/>
        <v>3.4244742896892013E-3</v>
      </c>
      <c r="D43" s="8">
        <f t="shared" si="1"/>
        <v>3.4186241296195259E-3</v>
      </c>
    </row>
    <row r="44" spans="1:4" x14ac:dyDescent="0.2">
      <c r="A44" s="1">
        <v>45583</v>
      </c>
      <c r="B44" s="2">
        <v>188.99</v>
      </c>
      <c r="C44" s="8">
        <f t="shared" si="0"/>
        <v>7.7854209993068199E-3</v>
      </c>
      <c r="D44" s="8">
        <f t="shared" si="1"/>
        <v>7.7552709951155497E-3</v>
      </c>
    </row>
    <row r="45" spans="1:4" x14ac:dyDescent="0.2">
      <c r="A45" s="1">
        <v>45586</v>
      </c>
      <c r="B45" s="2">
        <v>189.07</v>
      </c>
      <c r="C45" s="8">
        <f t="shared" si="0"/>
        <v>4.2330282025495572E-4</v>
      </c>
      <c r="D45" s="8">
        <f t="shared" si="1"/>
        <v>4.2321325289130293E-4</v>
      </c>
    </row>
    <row r="46" spans="1:4" x14ac:dyDescent="0.2">
      <c r="A46" s="1">
        <v>45587</v>
      </c>
      <c r="B46" s="2">
        <v>189.7</v>
      </c>
      <c r="C46" s="8">
        <f t="shared" si="0"/>
        <v>3.3320992225101577E-3</v>
      </c>
      <c r="D46" s="8">
        <f t="shared" si="1"/>
        <v>3.326560081130928E-3</v>
      </c>
    </row>
    <row r="47" spans="1:4" x14ac:dyDescent="0.2">
      <c r="A47" s="1">
        <v>45588</v>
      </c>
      <c r="B47" s="2">
        <v>184.71</v>
      </c>
      <c r="C47" s="8">
        <f t="shared" si="0"/>
        <v>-2.6304691618344655E-2</v>
      </c>
      <c r="D47" s="8">
        <f t="shared" si="1"/>
        <v>-2.6656849349740011E-2</v>
      </c>
    </row>
    <row r="48" spans="1:4" x14ac:dyDescent="0.2">
      <c r="A48" s="1">
        <v>45589</v>
      </c>
      <c r="B48" s="2">
        <v>186.38</v>
      </c>
      <c r="C48" s="8">
        <f t="shared" si="0"/>
        <v>9.0411997184775463E-3</v>
      </c>
      <c r="D48" s="8">
        <f t="shared" si="1"/>
        <v>9.0005727662809711E-3</v>
      </c>
    </row>
    <row r="49" spans="1:4" x14ac:dyDescent="0.2">
      <c r="A49" s="1">
        <v>45590</v>
      </c>
      <c r="B49" s="2">
        <v>187.83</v>
      </c>
      <c r="C49" s="8">
        <f t="shared" si="0"/>
        <v>7.7798047000752074E-3</v>
      </c>
      <c r="D49" s="8">
        <f t="shared" si="1"/>
        <v>7.7496980678194395E-3</v>
      </c>
    </row>
    <row r="50" spans="1:4" x14ac:dyDescent="0.2">
      <c r="A50" s="1">
        <v>45593</v>
      </c>
      <c r="B50" s="2">
        <v>188.39</v>
      </c>
      <c r="C50" s="8">
        <f t="shared" si="0"/>
        <v>2.9814193685778301E-3</v>
      </c>
      <c r="D50" s="8">
        <f t="shared" si="1"/>
        <v>2.9769837519540302E-3</v>
      </c>
    </row>
    <row r="51" spans="1:4" x14ac:dyDescent="0.2">
      <c r="A51" s="1">
        <v>45594</v>
      </c>
      <c r="B51" s="2">
        <v>190.83</v>
      </c>
      <c r="C51" s="8">
        <f t="shared" si="0"/>
        <v>1.2951855194012561E-2</v>
      </c>
      <c r="D51" s="8">
        <f t="shared" si="1"/>
        <v>1.2868697181539787E-2</v>
      </c>
    </row>
    <row r="52" spans="1:4" x14ac:dyDescent="0.2">
      <c r="A52" s="1">
        <v>45595</v>
      </c>
      <c r="B52" s="2">
        <v>192.73</v>
      </c>
      <c r="C52" s="8">
        <f t="shared" si="0"/>
        <v>9.9565057904940375E-3</v>
      </c>
      <c r="D52" s="8">
        <f t="shared" si="1"/>
        <v>9.9072663521374595E-3</v>
      </c>
    </row>
    <row r="53" spans="1:4" x14ac:dyDescent="0.2">
      <c r="A53" s="1">
        <v>45596</v>
      </c>
      <c r="B53" s="2">
        <v>186.4</v>
      </c>
      <c r="C53" s="8">
        <f t="shared" si="0"/>
        <v>-3.2843874850827501E-2</v>
      </c>
      <c r="D53" s="8">
        <f t="shared" si="1"/>
        <v>-3.3395343459469283E-2</v>
      </c>
    </row>
    <row r="54" spans="1:4" x14ac:dyDescent="0.2">
      <c r="A54" s="1">
        <v>45597</v>
      </c>
      <c r="B54" s="2">
        <v>197.93</v>
      </c>
      <c r="C54" s="8">
        <f t="shared" si="0"/>
        <v>6.1856223175965667E-2</v>
      </c>
      <c r="D54" s="8">
        <f t="shared" si="1"/>
        <v>6.0018530581152883E-2</v>
      </c>
    </row>
    <row r="55" spans="1:4" x14ac:dyDescent="0.2">
      <c r="A55" s="1">
        <v>45600</v>
      </c>
      <c r="B55" s="2">
        <v>195.78</v>
      </c>
      <c r="C55" s="8">
        <f t="shared" si="0"/>
        <v>-1.0862426110241023E-2</v>
      </c>
      <c r="D55" s="8">
        <f t="shared" si="1"/>
        <v>-1.0921852999359509E-2</v>
      </c>
    </row>
    <row r="56" spans="1:4" x14ac:dyDescent="0.2">
      <c r="A56" s="1">
        <v>45601</v>
      </c>
      <c r="B56" s="2">
        <v>199.5</v>
      </c>
      <c r="C56" s="8">
        <f t="shared" si="0"/>
        <v>1.9000919399325768E-2</v>
      </c>
      <c r="D56" s="8">
        <f t="shared" si="1"/>
        <v>1.8822656496633807E-2</v>
      </c>
    </row>
    <row r="57" spans="1:4" x14ac:dyDescent="0.2">
      <c r="A57" s="1">
        <v>45602</v>
      </c>
      <c r="B57" s="2">
        <v>207.09</v>
      </c>
      <c r="C57" s="8">
        <f t="shared" si="0"/>
        <v>3.8045112781954903E-2</v>
      </c>
      <c r="D57" s="8">
        <f t="shared" si="1"/>
        <v>3.7339245053575845E-2</v>
      </c>
    </row>
    <row r="58" spans="1:4" x14ac:dyDescent="0.2">
      <c r="A58" s="1">
        <v>45603</v>
      </c>
      <c r="B58" s="2">
        <v>210.05</v>
      </c>
      <c r="C58" s="8">
        <f t="shared" si="0"/>
        <v>1.4293302428895687E-2</v>
      </c>
      <c r="D58" s="8">
        <f t="shared" si="1"/>
        <v>1.4192116231897121E-2</v>
      </c>
    </row>
    <row r="59" spans="1:4" x14ac:dyDescent="0.2">
      <c r="A59" s="1">
        <v>45604</v>
      </c>
      <c r="B59" s="2">
        <v>208.18</v>
      </c>
      <c r="C59" s="8">
        <f t="shared" si="0"/>
        <v>-8.9026422280409634E-3</v>
      </c>
      <c r="D59" s="8">
        <f t="shared" si="1"/>
        <v>-8.9425075280687404E-3</v>
      </c>
    </row>
    <row r="60" spans="1:4" x14ac:dyDescent="0.2">
      <c r="A60" s="1">
        <v>45607</v>
      </c>
      <c r="B60" s="2">
        <v>206.84</v>
      </c>
      <c r="C60" s="8">
        <f t="shared" si="0"/>
        <v>-6.43673743875494E-3</v>
      </c>
      <c r="D60" s="8">
        <f t="shared" si="1"/>
        <v>-6.4575425593016147E-3</v>
      </c>
    </row>
    <row r="61" spans="1:4" x14ac:dyDescent="0.2">
      <c r="A61" s="1">
        <v>45608</v>
      </c>
      <c r="B61" s="2">
        <v>208.91</v>
      </c>
      <c r="C61" s="8">
        <f t="shared" si="0"/>
        <v>1.0007735447689002E-2</v>
      </c>
      <c r="D61" s="8">
        <f t="shared" si="1"/>
        <v>9.957989682937261E-3</v>
      </c>
    </row>
    <row r="62" spans="1:4" x14ac:dyDescent="0.2">
      <c r="A62" s="1">
        <v>45609</v>
      </c>
      <c r="B62" s="2">
        <v>214.1</v>
      </c>
      <c r="C62" s="8">
        <f t="shared" si="0"/>
        <v>2.484323392848594E-2</v>
      </c>
      <c r="D62" s="8">
        <f t="shared" si="1"/>
        <v>2.4539658384679072E-2</v>
      </c>
    </row>
    <row r="63" spans="1:4" x14ac:dyDescent="0.2">
      <c r="A63" s="1">
        <v>45610</v>
      </c>
      <c r="B63" s="2">
        <v>211.48</v>
      </c>
      <c r="C63" s="8">
        <f t="shared" si="0"/>
        <v>-1.223727230266233E-2</v>
      </c>
      <c r="D63" s="8">
        <f t="shared" si="1"/>
        <v>-1.2312764228387701E-2</v>
      </c>
    </row>
    <row r="64" spans="1:4" x14ac:dyDescent="0.2">
      <c r="A64" s="1">
        <v>45611</v>
      </c>
      <c r="B64" s="2">
        <v>202.61</v>
      </c>
      <c r="C64" s="8">
        <f t="shared" si="0"/>
        <v>-4.1942500472857844E-2</v>
      </c>
      <c r="D64" s="8">
        <f t="shared" si="1"/>
        <v>-4.2847482429189496E-2</v>
      </c>
    </row>
    <row r="65" spans="1:4" x14ac:dyDescent="0.2">
      <c r="A65" s="1">
        <v>45614</v>
      </c>
      <c r="B65" s="2">
        <v>201.7</v>
      </c>
      <c r="C65" s="8">
        <f t="shared" si="0"/>
        <v>-4.4913873945018751E-3</v>
      </c>
      <c r="D65" s="8">
        <f t="shared" si="1"/>
        <v>-4.5015039778938636E-3</v>
      </c>
    </row>
    <row r="66" spans="1:4" x14ac:dyDescent="0.2">
      <c r="A66" s="1">
        <v>45615</v>
      </c>
      <c r="B66" s="2">
        <v>204.61</v>
      </c>
      <c r="C66" s="8">
        <f t="shared" si="0"/>
        <v>1.4427367377293134E-2</v>
      </c>
      <c r="D66" s="8">
        <f t="shared" si="1"/>
        <v>1.4324283218301996E-2</v>
      </c>
    </row>
    <row r="67" spans="1:4" x14ac:dyDescent="0.2">
      <c r="A67" s="1">
        <v>45616</v>
      </c>
      <c r="B67" s="2">
        <v>202.88</v>
      </c>
      <c r="C67" s="8">
        <f t="shared" si="0"/>
        <v>-8.4551097209325937E-3</v>
      </c>
      <c r="D67" s="8">
        <f t="shared" si="1"/>
        <v>-8.4910569296068189E-3</v>
      </c>
    </row>
    <row r="68" spans="1:4" x14ac:dyDescent="0.2">
      <c r="A68" s="1">
        <v>45617</v>
      </c>
      <c r="B68" s="2">
        <v>198.38</v>
      </c>
      <c r="C68" s="8">
        <f t="shared" ref="C68:C127" si="2">(B68-B67)/B67</f>
        <v>-2.2180599369085174E-2</v>
      </c>
      <c r="D68" s="8">
        <f t="shared" ref="D68:D127" si="3">LN(B68/B67)</f>
        <v>-2.2430287931013364E-2</v>
      </c>
    </row>
    <row r="69" spans="1:4" x14ac:dyDescent="0.2">
      <c r="A69" s="1">
        <v>45618</v>
      </c>
      <c r="B69" s="2">
        <v>197.12</v>
      </c>
      <c r="C69" s="8">
        <f t="shared" si="2"/>
        <v>-6.3514467184191499E-3</v>
      </c>
      <c r="D69" s="8">
        <f t="shared" si="3"/>
        <v>-6.3717029726926711E-3</v>
      </c>
    </row>
    <row r="70" spans="1:4" x14ac:dyDescent="0.2">
      <c r="A70" s="1">
        <v>45621</v>
      </c>
      <c r="B70" s="2">
        <v>201.45</v>
      </c>
      <c r="C70" s="8">
        <f t="shared" si="2"/>
        <v>2.1966314935064853E-2</v>
      </c>
      <c r="D70" s="8">
        <f t="shared" si="3"/>
        <v>2.1728531292201227E-2</v>
      </c>
    </row>
    <row r="71" spans="1:4" x14ac:dyDescent="0.2">
      <c r="A71" s="1">
        <v>45622</v>
      </c>
      <c r="B71" s="2">
        <v>207.86</v>
      </c>
      <c r="C71" s="8">
        <f t="shared" si="2"/>
        <v>3.1819310002482129E-2</v>
      </c>
      <c r="D71" s="8">
        <f t="shared" si="3"/>
        <v>3.1323564522919498E-2</v>
      </c>
    </row>
    <row r="72" spans="1:4" x14ac:dyDescent="0.2">
      <c r="A72" s="1">
        <v>45623</v>
      </c>
      <c r="B72" s="2">
        <v>205.74</v>
      </c>
      <c r="C72" s="8">
        <f t="shared" si="2"/>
        <v>-1.0199172519965383E-2</v>
      </c>
      <c r="D72" s="8">
        <f t="shared" si="3"/>
        <v>-1.0251540457391649E-2</v>
      </c>
    </row>
    <row r="73" spans="1:4" x14ac:dyDescent="0.2">
      <c r="A73" s="1">
        <v>45625</v>
      </c>
      <c r="B73" s="2">
        <v>207.89</v>
      </c>
      <c r="C73" s="8">
        <f t="shared" si="2"/>
        <v>1.0450082628560209E-2</v>
      </c>
      <c r="D73" s="8">
        <f t="shared" si="3"/>
        <v>1.0395857956138769E-2</v>
      </c>
    </row>
    <row r="74" spans="1:4" x14ac:dyDescent="0.2">
      <c r="A74" s="1">
        <v>45628</v>
      </c>
      <c r="B74">
        <v>210.71</v>
      </c>
      <c r="C74" s="8">
        <f t="shared" si="2"/>
        <v>1.3564866034922419E-2</v>
      </c>
      <c r="D74" s="8">
        <f t="shared" si="3"/>
        <v>1.3473686869693382E-2</v>
      </c>
    </row>
    <row r="75" spans="1:4" x14ac:dyDescent="0.2">
      <c r="A75" s="1">
        <v>45629</v>
      </c>
      <c r="B75">
        <v>213.44</v>
      </c>
      <c r="C75" s="8">
        <f t="shared" si="2"/>
        <v>1.2956195719234918E-2</v>
      </c>
      <c r="D75" s="8">
        <f t="shared" si="3"/>
        <v>1.287298219854281E-2</v>
      </c>
    </row>
    <row r="76" spans="1:4" x14ac:dyDescent="0.2">
      <c r="A76" s="1">
        <v>45630</v>
      </c>
      <c r="B76">
        <v>218.16</v>
      </c>
      <c r="C76" s="8">
        <f t="shared" si="2"/>
        <v>2.2113943028485752E-2</v>
      </c>
      <c r="D76" s="8">
        <f t="shared" si="3"/>
        <v>2.1872975810074226E-2</v>
      </c>
    </row>
    <row r="77" spans="1:4" x14ac:dyDescent="0.2">
      <c r="A77" s="1">
        <v>45631</v>
      </c>
      <c r="B77">
        <v>220.55</v>
      </c>
      <c r="C77" s="8">
        <f t="shared" si="2"/>
        <v>1.0955262192886023E-2</v>
      </c>
      <c r="D77" s="8">
        <f t="shared" si="3"/>
        <v>1.089568801361581E-2</v>
      </c>
    </row>
    <row r="78" spans="1:4" x14ac:dyDescent="0.2">
      <c r="A78" s="1">
        <v>45632</v>
      </c>
      <c r="B78">
        <v>227.03</v>
      </c>
      <c r="C78" s="8">
        <f t="shared" si="2"/>
        <v>2.9381092722738561E-2</v>
      </c>
      <c r="D78" s="8">
        <f t="shared" si="3"/>
        <v>2.8957740788585033E-2</v>
      </c>
    </row>
    <row r="79" spans="1:4" x14ac:dyDescent="0.2">
      <c r="A79" s="1">
        <v>45635</v>
      </c>
      <c r="B79">
        <v>226.09</v>
      </c>
      <c r="C79" s="8">
        <f t="shared" si="2"/>
        <v>-4.1404219706646598E-3</v>
      </c>
      <c r="D79" s="8">
        <f t="shared" si="3"/>
        <v>-4.1490172513090158E-3</v>
      </c>
    </row>
    <row r="80" spans="1:4" x14ac:dyDescent="0.2">
      <c r="A80" s="1">
        <v>45636</v>
      </c>
      <c r="B80">
        <v>225.04</v>
      </c>
      <c r="C80" s="8">
        <f t="shared" si="2"/>
        <v>-4.644168251581279E-3</v>
      </c>
      <c r="D80" s="8">
        <f t="shared" si="3"/>
        <v>-4.6549859066235526E-3</v>
      </c>
    </row>
    <row r="81" spans="1:4" x14ac:dyDescent="0.2">
      <c r="A81" s="1">
        <v>45637</v>
      </c>
      <c r="B81">
        <v>230.26</v>
      </c>
      <c r="C81" s="8">
        <f t="shared" si="2"/>
        <v>2.3195876288659791E-2</v>
      </c>
      <c r="D81" s="8">
        <f t="shared" si="3"/>
        <v>2.2930941063916892E-2</v>
      </c>
    </row>
    <row r="82" spans="1:4" x14ac:dyDescent="0.2">
      <c r="A82" s="1">
        <v>45638</v>
      </c>
      <c r="B82">
        <v>228.97</v>
      </c>
      <c r="C82" s="8">
        <f t="shared" si="2"/>
        <v>-5.60236254668632E-3</v>
      </c>
      <c r="D82" s="8">
        <f t="shared" si="3"/>
        <v>-5.6181146399125149E-3</v>
      </c>
    </row>
    <row r="83" spans="1:4" x14ac:dyDescent="0.2">
      <c r="A83" s="1">
        <v>45639</v>
      </c>
      <c r="B83">
        <v>227.46</v>
      </c>
      <c r="C83" s="8">
        <f t="shared" si="2"/>
        <v>-6.5947504039830145E-3</v>
      </c>
      <c r="D83" s="8">
        <f t="shared" si="3"/>
        <v>-6.6165918493073725E-3</v>
      </c>
    </row>
    <row r="84" spans="1:4" x14ac:dyDescent="0.2">
      <c r="A84" s="1">
        <v>45642</v>
      </c>
      <c r="B84">
        <v>232.93</v>
      </c>
      <c r="C84" s="8">
        <f t="shared" si="2"/>
        <v>2.4048184296139974E-2</v>
      </c>
      <c r="D84" s="8">
        <f t="shared" si="3"/>
        <v>2.3763580486964548E-2</v>
      </c>
    </row>
    <row r="85" spans="1:4" x14ac:dyDescent="0.2">
      <c r="A85" s="1">
        <v>45643</v>
      </c>
      <c r="B85">
        <v>231.15</v>
      </c>
      <c r="C85" s="8">
        <f t="shared" si="2"/>
        <v>-7.6417807925127767E-3</v>
      </c>
      <c r="D85" s="8">
        <f t="shared" si="3"/>
        <v>-7.67112880902857E-3</v>
      </c>
    </row>
    <row r="86" spans="1:4" x14ac:dyDescent="0.2">
      <c r="A86" s="1">
        <v>45644</v>
      </c>
      <c r="B86">
        <v>220.52</v>
      </c>
      <c r="C86" s="8">
        <f t="shared" si="2"/>
        <v>-4.5987454034176922E-2</v>
      </c>
      <c r="D86" s="8">
        <f t="shared" si="3"/>
        <v>-4.7078456712751592E-2</v>
      </c>
    </row>
    <row r="87" spans="1:4" x14ac:dyDescent="0.2">
      <c r="A87" s="1">
        <v>45645</v>
      </c>
      <c r="B87">
        <v>223.29</v>
      </c>
      <c r="C87" s="8">
        <f t="shared" si="2"/>
        <v>1.2561218937057779E-2</v>
      </c>
      <c r="D87" s="8">
        <f t="shared" si="3"/>
        <v>1.2482981318446182E-2</v>
      </c>
    </row>
    <row r="88" spans="1:4" x14ac:dyDescent="0.2">
      <c r="A88" s="1">
        <v>45646</v>
      </c>
      <c r="B88">
        <v>224.92</v>
      </c>
      <c r="C88" s="8">
        <f t="shared" si="2"/>
        <v>7.2999238658246922E-3</v>
      </c>
      <c r="D88" s="8">
        <f t="shared" si="3"/>
        <v>7.2734083840718979E-3</v>
      </c>
    </row>
    <row r="89" spans="1:4" x14ac:dyDescent="0.2">
      <c r="A89" s="1">
        <v>45649</v>
      </c>
      <c r="B89">
        <v>225.06</v>
      </c>
      <c r="C89" s="8">
        <f t="shared" si="2"/>
        <v>6.2244353547934725E-4</v>
      </c>
      <c r="D89" s="8">
        <f t="shared" si="3"/>
        <v>6.2224989785008612E-4</v>
      </c>
    </row>
    <row r="90" spans="1:4" x14ac:dyDescent="0.2">
      <c r="A90" s="1">
        <v>45650</v>
      </c>
      <c r="B90">
        <v>229.05</v>
      </c>
      <c r="C90" s="8">
        <f t="shared" si="2"/>
        <v>1.7728605705145336E-2</v>
      </c>
      <c r="D90" s="8">
        <f t="shared" si="3"/>
        <v>1.7573287010900208E-2</v>
      </c>
    </row>
    <row r="91" spans="1:4" x14ac:dyDescent="0.2">
      <c r="A91" s="1">
        <v>45652</v>
      </c>
      <c r="B91">
        <v>227.05</v>
      </c>
      <c r="C91" s="8">
        <f t="shared" si="2"/>
        <v>-8.7317179655097138E-3</v>
      </c>
      <c r="D91" s="8">
        <f t="shared" si="3"/>
        <v>-8.7700627887910398E-3</v>
      </c>
    </row>
    <row r="92" spans="1:4" x14ac:dyDescent="0.2">
      <c r="A92" s="1">
        <v>45653</v>
      </c>
      <c r="B92">
        <v>223.75</v>
      </c>
      <c r="C92" s="8">
        <f t="shared" si="2"/>
        <v>-1.4534243558687564E-2</v>
      </c>
      <c r="D92" s="8">
        <f t="shared" si="3"/>
        <v>-1.4640900388995468E-2</v>
      </c>
    </row>
    <row r="93" spans="1:4" x14ac:dyDescent="0.2">
      <c r="A93" s="1">
        <v>45656</v>
      </c>
      <c r="B93" s="2">
        <v>221.3</v>
      </c>
      <c r="C93" s="8">
        <f t="shared" si="2"/>
        <v>-1.0949720670391011E-2</v>
      </c>
      <c r="D93" s="8">
        <f t="shared" si="3"/>
        <v>-1.1010110097960732E-2</v>
      </c>
    </row>
    <row r="94" spans="1:4" x14ac:dyDescent="0.2">
      <c r="A94" s="1">
        <v>45657</v>
      </c>
      <c r="B94">
        <v>219.39</v>
      </c>
      <c r="C94" s="8">
        <f t="shared" si="2"/>
        <v>-8.6308178942612959E-3</v>
      </c>
      <c r="D94" s="8">
        <f t="shared" si="3"/>
        <v>-8.6682791060346213E-3</v>
      </c>
    </row>
    <row r="95" spans="1:4" x14ac:dyDescent="0.2">
      <c r="A95" s="1">
        <v>45659</v>
      </c>
      <c r="B95">
        <v>220.22</v>
      </c>
      <c r="C95" s="8">
        <f t="shared" si="2"/>
        <v>3.7832171019645954E-3</v>
      </c>
      <c r="D95" s="8">
        <f t="shared" si="3"/>
        <v>3.7760787344755151E-3</v>
      </c>
    </row>
    <row r="96" spans="1:4" x14ac:dyDescent="0.2">
      <c r="A96" s="1">
        <v>45660</v>
      </c>
      <c r="B96">
        <v>224.19</v>
      </c>
      <c r="C96" s="8">
        <f t="shared" si="2"/>
        <v>1.8027427118336204E-2</v>
      </c>
      <c r="D96" s="8">
        <f t="shared" si="3"/>
        <v>1.7866859924863424E-2</v>
      </c>
    </row>
    <row r="97" spans="1:4" x14ac:dyDescent="0.2">
      <c r="A97" s="1">
        <v>45663</v>
      </c>
      <c r="B97">
        <v>227.61</v>
      </c>
      <c r="C97" s="8">
        <f t="shared" si="2"/>
        <v>1.5254917703733512E-2</v>
      </c>
      <c r="D97" s="8">
        <f t="shared" si="3"/>
        <v>1.5139731407784835E-2</v>
      </c>
    </row>
    <row r="98" spans="1:4" x14ac:dyDescent="0.2">
      <c r="A98" s="1">
        <v>45664</v>
      </c>
      <c r="B98">
        <v>222.11</v>
      </c>
      <c r="C98" s="8">
        <f t="shared" si="2"/>
        <v>-2.4164140415623214E-2</v>
      </c>
      <c r="D98" s="8">
        <f t="shared" si="3"/>
        <v>-2.4460883367675646E-2</v>
      </c>
    </row>
    <row r="99" spans="1:4" x14ac:dyDescent="0.2">
      <c r="A99" s="1">
        <v>45665</v>
      </c>
      <c r="B99">
        <v>222.13</v>
      </c>
      <c r="C99" s="8">
        <f t="shared" si="2"/>
        <v>9.0045472963764842E-5</v>
      </c>
      <c r="D99" s="8">
        <f t="shared" si="3"/>
        <v>9.0041419113513752E-5</v>
      </c>
    </row>
    <row r="100" spans="1:4" x14ac:dyDescent="0.2">
      <c r="A100" s="1">
        <v>45667</v>
      </c>
      <c r="B100">
        <v>218.94</v>
      </c>
      <c r="C100" s="8">
        <f t="shared" si="2"/>
        <v>-1.4360959798316291E-2</v>
      </c>
      <c r="D100" s="8">
        <f t="shared" si="3"/>
        <v>-1.4465076393119836E-2</v>
      </c>
    </row>
    <row r="101" spans="1:4" x14ac:dyDescent="0.2">
      <c r="A101" s="1">
        <v>45670</v>
      </c>
      <c r="B101">
        <v>218.46</v>
      </c>
      <c r="C101" s="8">
        <f t="shared" si="2"/>
        <v>-2.1923814743764949E-3</v>
      </c>
      <c r="D101" s="8">
        <f t="shared" si="3"/>
        <v>-2.1947882610141591E-3</v>
      </c>
    </row>
    <row r="102" spans="1:4" x14ac:dyDescent="0.2">
      <c r="A102" s="1">
        <v>45671</v>
      </c>
      <c r="B102">
        <v>217.76</v>
      </c>
      <c r="C102" s="8">
        <f t="shared" si="2"/>
        <v>-3.2042479172389319E-3</v>
      </c>
      <c r="D102" s="8">
        <f t="shared" si="3"/>
        <v>-3.2093925122412274E-3</v>
      </c>
    </row>
    <row r="103" spans="1:4" x14ac:dyDescent="0.2">
      <c r="A103" s="1">
        <v>45672</v>
      </c>
      <c r="B103">
        <v>223.35</v>
      </c>
      <c r="C103" s="8">
        <f t="shared" si="2"/>
        <v>2.5670462894930215E-2</v>
      </c>
      <c r="D103" s="8">
        <f t="shared" si="3"/>
        <v>2.5346508894971788E-2</v>
      </c>
    </row>
    <row r="104" spans="1:4" x14ac:dyDescent="0.2">
      <c r="A104" s="1">
        <v>45673</v>
      </c>
      <c r="B104">
        <v>220.66</v>
      </c>
      <c r="C104" s="8">
        <f t="shared" si="2"/>
        <v>-1.2043877322587857E-2</v>
      </c>
      <c r="D104" s="8">
        <f t="shared" si="3"/>
        <v>-1.2116992465967626E-2</v>
      </c>
    </row>
    <row r="105" spans="1:4" x14ac:dyDescent="0.2">
      <c r="A105" s="1">
        <v>45674</v>
      </c>
      <c r="B105">
        <v>225.94</v>
      </c>
      <c r="C105" s="8">
        <f t="shared" si="2"/>
        <v>2.392821535393819E-2</v>
      </c>
      <c r="D105" s="8">
        <f t="shared" si="3"/>
        <v>2.3646421966622699E-2</v>
      </c>
    </row>
    <row r="106" spans="1:4" x14ac:dyDescent="0.2">
      <c r="A106" s="1">
        <v>45678</v>
      </c>
      <c r="B106">
        <v>230.71</v>
      </c>
      <c r="C106" s="8">
        <f t="shared" si="2"/>
        <v>2.1111799592812296E-2</v>
      </c>
      <c r="D106" s="8">
        <f t="shared" si="3"/>
        <v>2.0892033278734474E-2</v>
      </c>
    </row>
    <row r="107" spans="1:4" x14ac:dyDescent="0.2">
      <c r="A107" s="1">
        <v>45679</v>
      </c>
      <c r="B107">
        <v>235.01</v>
      </c>
      <c r="C107" s="8">
        <f t="shared" si="2"/>
        <v>1.8638117116726551E-2</v>
      </c>
      <c r="D107" s="8">
        <f t="shared" si="3"/>
        <v>1.8466555852769646E-2</v>
      </c>
    </row>
    <row r="108" spans="1:4" x14ac:dyDescent="0.2">
      <c r="A108" s="1">
        <v>45680</v>
      </c>
      <c r="B108">
        <v>235.42</v>
      </c>
      <c r="C108" s="8">
        <f t="shared" si="2"/>
        <v>1.7446066124845606E-3</v>
      </c>
      <c r="D108" s="8">
        <f t="shared" si="3"/>
        <v>1.7430865540477031E-3</v>
      </c>
    </row>
    <row r="109" spans="1:4" x14ac:dyDescent="0.2">
      <c r="A109" s="1">
        <v>45681</v>
      </c>
      <c r="B109">
        <v>234.85</v>
      </c>
      <c r="C109" s="8">
        <f t="shared" si="2"/>
        <v>-2.4212046555092737E-3</v>
      </c>
      <c r="D109" s="8">
        <f t="shared" si="3"/>
        <v>-2.4241405113304931E-3</v>
      </c>
    </row>
    <row r="110" spans="1:4" x14ac:dyDescent="0.2">
      <c r="A110" s="1">
        <v>45684</v>
      </c>
      <c r="B110">
        <v>235.42</v>
      </c>
      <c r="C110" s="8">
        <f t="shared" si="2"/>
        <v>2.4270811156056767E-3</v>
      </c>
      <c r="D110" s="8">
        <f t="shared" si="3"/>
        <v>2.4241405113305109E-3</v>
      </c>
    </row>
    <row r="111" spans="1:4" x14ac:dyDescent="0.2">
      <c r="A111" s="1">
        <v>45685</v>
      </c>
      <c r="B111">
        <v>238.15</v>
      </c>
      <c r="C111" s="8">
        <f t="shared" si="2"/>
        <v>1.1596295981649895E-2</v>
      </c>
      <c r="D111" s="8">
        <f t="shared" si="3"/>
        <v>1.15295742625348E-2</v>
      </c>
    </row>
    <row r="112" spans="1:4" x14ac:dyDescent="0.2">
      <c r="A112" s="1">
        <v>45686</v>
      </c>
      <c r="B112">
        <v>237.07</v>
      </c>
      <c r="C112" s="8">
        <f t="shared" si="2"/>
        <v>-4.5349569598992752E-3</v>
      </c>
      <c r="D112" s="8">
        <f t="shared" si="3"/>
        <v>-4.5452710717284062E-3</v>
      </c>
    </row>
    <row r="113" spans="1:4" x14ac:dyDescent="0.2">
      <c r="A113" s="1">
        <v>45687</v>
      </c>
      <c r="B113">
        <v>234.64</v>
      </c>
      <c r="C113" s="8">
        <f t="shared" si="2"/>
        <v>-1.0250137090310908E-2</v>
      </c>
      <c r="D113" s="8">
        <f t="shared" si="3"/>
        <v>-1.0303031505945406E-2</v>
      </c>
    </row>
    <row r="114" spans="1:4" x14ac:dyDescent="0.2">
      <c r="A114" s="1">
        <v>45688</v>
      </c>
      <c r="B114">
        <v>237.68</v>
      </c>
      <c r="C114" s="8">
        <f t="shared" si="2"/>
        <v>1.2956017729287507E-2</v>
      </c>
      <c r="D114" s="8">
        <f t="shared" si="3"/>
        <v>1.2872806485156745E-2</v>
      </c>
    </row>
    <row r="115" spans="1:4" x14ac:dyDescent="0.2">
      <c r="A115" s="1">
        <v>45691</v>
      </c>
      <c r="B115">
        <v>237.42</v>
      </c>
      <c r="C115" s="8">
        <f t="shared" si="2"/>
        <v>-1.0939077751599602E-3</v>
      </c>
      <c r="D115" s="8">
        <f t="shared" si="3"/>
        <v>-1.0945065289643418E-3</v>
      </c>
    </row>
    <row r="116" spans="1:4" x14ac:dyDescent="0.2">
      <c r="A116" s="1">
        <v>45692</v>
      </c>
      <c r="B116">
        <v>242.06</v>
      </c>
      <c r="C116" s="8">
        <f t="shared" si="2"/>
        <v>1.9543425153736058E-2</v>
      </c>
      <c r="D116" s="8">
        <f t="shared" si="3"/>
        <v>1.935490468506991E-2</v>
      </c>
    </row>
    <row r="117" spans="1:4" x14ac:dyDescent="0.2">
      <c r="A117" s="1">
        <v>45693</v>
      </c>
      <c r="B117">
        <v>236.17</v>
      </c>
      <c r="C117" s="8">
        <f t="shared" si="2"/>
        <v>-2.4332810047095824E-2</v>
      </c>
      <c r="D117" s="8">
        <f t="shared" si="3"/>
        <v>-2.4633744621397651E-2</v>
      </c>
    </row>
    <row r="118" spans="1:4" x14ac:dyDescent="0.2">
      <c r="A118" s="1">
        <v>45694</v>
      </c>
      <c r="B118">
        <v>238.83</v>
      </c>
      <c r="C118" s="8">
        <f t="shared" si="2"/>
        <v>1.1263073209975971E-2</v>
      </c>
      <c r="D118" s="8">
        <f t="shared" si="3"/>
        <v>1.1200117079536328E-2</v>
      </c>
    </row>
    <row r="119" spans="1:4" x14ac:dyDescent="0.2">
      <c r="A119" s="1">
        <v>45695</v>
      </c>
      <c r="B119">
        <v>229.15</v>
      </c>
      <c r="C119" s="8">
        <f t="shared" si="2"/>
        <v>-4.053092157601644E-2</v>
      </c>
      <c r="D119" s="8">
        <f t="shared" si="3"/>
        <v>-4.137519081346349E-2</v>
      </c>
    </row>
    <row r="120" spans="1:4" x14ac:dyDescent="0.2">
      <c r="A120" s="1">
        <v>45698</v>
      </c>
      <c r="B120">
        <v>233.14</v>
      </c>
      <c r="C120" s="8">
        <f t="shared" si="2"/>
        <v>1.7412175430940348E-2</v>
      </c>
      <c r="D120" s="8">
        <f t="shared" si="3"/>
        <v>1.7262320536553234E-2</v>
      </c>
    </row>
    <row r="121" spans="1:4" x14ac:dyDescent="0.2">
      <c r="A121" s="1">
        <v>45699</v>
      </c>
      <c r="B121">
        <v>232.76</v>
      </c>
      <c r="C121" s="8">
        <f t="shared" si="2"/>
        <v>-1.6299219353178153E-3</v>
      </c>
      <c r="D121" s="8">
        <f t="shared" si="3"/>
        <v>-1.631251703217151E-3</v>
      </c>
    </row>
    <row r="122" spans="1:4" x14ac:dyDescent="0.2">
      <c r="A122" s="1">
        <v>45700</v>
      </c>
      <c r="B122">
        <v>228.93</v>
      </c>
      <c r="C122" s="8">
        <f t="shared" si="2"/>
        <v>-1.6454717305378862E-2</v>
      </c>
      <c r="D122" s="8">
        <f t="shared" si="3"/>
        <v>-1.6591599818817578E-2</v>
      </c>
    </row>
    <row r="123" spans="1:4" x14ac:dyDescent="0.2">
      <c r="A123" s="1">
        <v>45701</v>
      </c>
      <c r="B123">
        <v>230.37</v>
      </c>
      <c r="C123" s="8">
        <f t="shared" si="2"/>
        <v>6.2901323548682905E-3</v>
      </c>
      <c r="D123" s="8">
        <f t="shared" si="3"/>
        <v>6.2704320409103717E-3</v>
      </c>
    </row>
    <row r="124" spans="1:4" x14ac:dyDescent="0.2">
      <c r="A124" s="1">
        <v>45702</v>
      </c>
      <c r="B124">
        <v>228.68</v>
      </c>
      <c r="C124" s="8">
        <f t="shared" si="2"/>
        <v>-7.3360246559881831E-3</v>
      </c>
      <c r="D124" s="8">
        <f t="shared" si="3"/>
        <v>-7.3630656147912936E-3</v>
      </c>
    </row>
    <row r="125" spans="1:4" x14ac:dyDescent="0.2">
      <c r="A125" s="1">
        <v>45706</v>
      </c>
      <c r="B125">
        <v>226.65</v>
      </c>
      <c r="C125" s="8">
        <f t="shared" si="2"/>
        <v>-8.877033409130668E-3</v>
      </c>
      <c r="D125" s="8">
        <f t="shared" si="3"/>
        <v>-8.9166690089123157E-3</v>
      </c>
    </row>
    <row r="126" spans="1:4" x14ac:dyDescent="0.2">
      <c r="A126" s="1">
        <v>45707</v>
      </c>
      <c r="B126">
        <v>226.63</v>
      </c>
      <c r="C126" s="8">
        <f t="shared" si="2"/>
        <v>-8.824178248405132E-5</v>
      </c>
      <c r="D126" s="8">
        <f t="shared" si="3"/>
        <v>-8.824567601914891E-5</v>
      </c>
    </row>
    <row r="127" spans="1:4" x14ac:dyDescent="0.2">
      <c r="A127" s="1">
        <v>45708</v>
      </c>
      <c r="B127">
        <v>222.88</v>
      </c>
      <c r="C127" s="8">
        <f t="shared" si="2"/>
        <v>-1.6546794334377619E-2</v>
      </c>
      <c r="D127" s="8">
        <f t="shared" si="3"/>
        <v>-1.6685221679343602E-2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10976-804A-044F-B0B0-246D056C9277}">
  <sheetPr codeName="Sheet2"/>
  <dimension ref="A1:I182"/>
  <sheetViews>
    <sheetView workbookViewId="0">
      <selection activeCell="G4" sqref="G4"/>
    </sheetView>
  </sheetViews>
  <sheetFormatPr baseColWidth="10" defaultRowHeight="16" x14ac:dyDescent="0.2"/>
  <cols>
    <col min="1" max="1" width="14.1640625" customWidth="1"/>
    <col min="2" max="2" width="14.5" customWidth="1"/>
    <col min="3" max="3" width="10.83203125" style="8"/>
    <col min="6" max="6" width="23.33203125" customWidth="1"/>
  </cols>
  <sheetData>
    <row r="1" spans="1:9" x14ac:dyDescent="0.2">
      <c r="A1" t="s">
        <v>0</v>
      </c>
      <c r="B1" t="s">
        <v>1</v>
      </c>
      <c r="C1" s="8" t="s">
        <v>11</v>
      </c>
      <c r="D1" t="s">
        <v>12</v>
      </c>
      <c r="F1" s="5" t="s">
        <v>10</v>
      </c>
      <c r="G1" s="5"/>
      <c r="H1" t="s">
        <v>11</v>
      </c>
      <c r="I1" t="s">
        <v>12</v>
      </c>
    </row>
    <row r="2" spans="1:9" x14ac:dyDescent="0.2">
      <c r="A2" s="1">
        <v>45524</v>
      </c>
      <c r="B2" s="2">
        <v>226.51</v>
      </c>
      <c r="F2" t="s">
        <v>2</v>
      </c>
      <c r="G2">
        <v>233.07555555555555</v>
      </c>
      <c r="H2" s="8">
        <f>AVERAGE(C3:C127)</f>
        <v>7.4837521011487582E-4</v>
      </c>
      <c r="I2" s="9">
        <f>AVERAGE(D3:D127)</f>
        <v>6.5480916858420954E-4</v>
      </c>
    </row>
    <row r="3" spans="1:9" x14ac:dyDescent="0.2">
      <c r="A3" s="1">
        <v>45525</v>
      </c>
      <c r="B3" s="2">
        <v>226.4</v>
      </c>
      <c r="C3" s="8">
        <f t="shared" ref="C3:C34" si="0">(B3-B2)/B2</f>
        <v>-4.8562977351986769E-4</v>
      </c>
      <c r="D3" s="8">
        <f t="shared" ref="D3:D34" si="1">LN(B3/B2)</f>
        <v>-4.8574772984859386E-4</v>
      </c>
      <c r="F3" t="s">
        <v>3</v>
      </c>
      <c r="G3">
        <v>229.92500000000001</v>
      </c>
      <c r="H3" s="10">
        <v>6.2200000000000005E-4</v>
      </c>
      <c r="I3" s="9">
        <f>MEDIAN(D3:D127)</f>
        <v>1.1860052783758518E-3</v>
      </c>
    </row>
    <row r="4" spans="1:9" x14ac:dyDescent="0.2">
      <c r="A4" s="1">
        <v>45526</v>
      </c>
      <c r="B4" s="2">
        <v>224.53</v>
      </c>
      <c r="C4" s="8">
        <f t="shared" si="0"/>
        <v>-8.2597173144876527E-3</v>
      </c>
      <c r="D4" s="8">
        <f t="shared" si="1"/>
        <v>-8.2940177849183654E-3</v>
      </c>
      <c r="F4" t="s">
        <v>4</v>
      </c>
      <c r="G4">
        <v>9.7320571766142496</v>
      </c>
      <c r="H4">
        <f>_xlfn.STDEV.S(C3:C127)</f>
        <v>1.3701561915081069E-2</v>
      </c>
      <c r="I4">
        <f>_xlfn.STDEV.S(D3:D127)</f>
        <v>1.3725982956387797E-2</v>
      </c>
    </row>
    <row r="5" spans="1:9" x14ac:dyDescent="0.2">
      <c r="A5" s="1">
        <v>45527</v>
      </c>
      <c r="B5" s="2">
        <v>226.84</v>
      </c>
      <c r="C5" s="8">
        <f t="shared" si="0"/>
        <v>1.0288157484523237E-2</v>
      </c>
      <c r="D5" s="8">
        <f t="shared" si="1"/>
        <v>1.0235594601717834E-2</v>
      </c>
      <c r="F5" t="s">
        <v>5</v>
      </c>
      <c r="G5">
        <v>94.712936888888905</v>
      </c>
      <c r="H5">
        <f>_xlfn.VAR.S(C3:C127)</f>
        <v>1.8773279891280001E-4</v>
      </c>
      <c r="I5">
        <f>_xlfn.VAR.S(D3:D127)</f>
        <v>1.8840260811904826E-4</v>
      </c>
    </row>
    <row r="6" spans="1:9" x14ac:dyDescent="0.2">
      <c r="A6" s="1">
        <v>45530</v>
      </c>
      <c r="B6" s="2">
        <v>227.18</v>
      </c>
      <c r="C6" s="8">
        <f t="shared" si="0"/>
        <v>1.4988538176688565E-3</v>
      </c>
      <c r="D6" s="8">
        <f t="shared" si="1"/>
        <v>1.497731657448228E-3</v>
      </c>
      <c r="F6" t="s">
        <v>6</v>
      </c>
      <c r="G6">
        <v>-0.18236178518883195</v>
      </c>
      <c r="H6">
        <f>KURT(C3:C127)</f>
        <v>0.82969604644120398</v>
      </c>
      <c r="I6">
        <f>KURT(D3:D127)</f>
        <v>0.85604486131669422</v>
      </c>
    </row>
    <row r="7" spans="1:9" x14ac:dyDescent="0.2">
      <c r="A7" s="1">
        <v>45531</v>
      </c>
      <c r="B7" s="2">
        <v>228.03</v>
      </c>
      <c r="C7" s="8">
        <f t="shared" si="0"/>
        <v>3.7415265428294492E-3</v>
      </c>
      <c r="D7" s="8">
        <f t="shared" si="1"/>
        <v>3.7345444427833042E-3</v>
      </c>
      <c r="F7" t="s">
        <v>7</v>
      </c>
      <c r="G7">
        <v>0.78508947852087796</v>
      </c>
      <c r="H7">
        <f>SKEW(C3:C127)</f>
        <v>-0.33200000791522066</v>
      </c>
      <c r="I7">
        <f>SKEW(D3:D127)</f>
        <v>-0.38666785684789601</v>
      </c>
    </row>
    <row r="8" spans="1:9" x14ac:dyDescent="0.2">
      <c r="A8" s="1">
        <v>45532</v>
      </c>
      <c r="B8" s="2">
        <v>226.49</v>
      </c>
      <c r="C8" s="8">
        <f t="shared" si="0"/>
        <v>-6.7534973468402933E-3</v>
      </c>
      <c r="D8" s="8">
        <f t="shared" si="1"/>
        <v>-6.7764054079900871E-3</v>
      </c>
      <c r="F8" t="s">
        <v>8</v>
      </c>
      <c r="G8">
        <v>216.32</v>
      </c>
      <c r="H8" s="9">
        <f>MIN(C3:C127)</f>
        <v>-4.0400218606802089E-2</v>
      </c>
      <c r="I8" s="9">
        <f>MIN(D3:D127)</f>
        <v>-4.1238975826963314E-2</v>
      </c>
    </row>
    <row r="9" spans="1:9" x14ac:dyDescent="0.2">
      <c r="A9" s="1">
        <v>45533</v>
      </c>
      <c r="B9" s="2">
        <v>229.79</v>
      </c>
      <c r="C9" s="8">
        <f t="shared" si="0"/>
        <v>1.4570179698882878E-2</v>
      </c>
      <c r="D9" s="8">
        <f t="shared" si="1"/>
        <v>1.4465054528776243E-2</v>
      </c>
      <c r="F9" t="s">
        <v>9</v>
      </c>
      <c r="G9">
        <v>259.02</v>
      </c>
      <c r="H9" s="9">
        <f>MAX(C3:C127)</f>
        <v>3.706556708505146E-2</v>
      </c>
      <c r="I9" s="9">
        <f>MAX(D3:D127)</f>
        <v>3.6395154910179209E-2</v>
      </c>
    </row>
    <row r="10" spans="1:9" x14ac:dyDescent="0.2">
      <c r="A10" s="1">
        <v>45534</v>
      </c>
      <c r="B10" s="2">
        <v>229</v>
      </c>
      <c r="C10" s="8">
        <f t="shared" si="0"/>
        <v>-3.4379215805735329E-3</v>
      </c>
      <c r="D10" s="8">
        <f t="shared" si="1"/>
        <v>-3.4438448126052909E-3</v>
      </c>
    </row>
    <row r="11" spans="1:9" x14ac:dyDescent="0.2">
      <c r="A11" s="1">
        <v>45538</v>
      </c>
      <c r="B11" s="2">
        <v>222.77</v>
      </c>
      <c r="C11" s="8">
        <f t="shared" si="0"/>
        <v>-2.7205240174672445E-2</v>
      </c>
      <c r="D11" s="8">
        <f t="shared" si="1"/>
        <v>-2.7582154477457006E-2</v>
      </c>
      <c r="G11" t="s">
        <v>14</v>
      </c>
    </row>
    <row r="12" spans="1:9" x14ac:dyDescent="0.2">
      <c r="A12" s="1">
        <v>45539</v>
      </c>
      <c r="B12" s="2">
        <v>220.85</v>
      </c>
      <c r="C12" s="8">
        <f t="shared" si="0"/>
        <v>-8.6187547694932705E-3</v>
      </c>
      <c r="D12" s="8">
        <f t="shared" si="1"/>
        <v>-8.6561110342471426E-3</v>
      </c>
      <c r="F12" t="s">
        <v>15</v>
      </c>
      <c r="G12">
        <f>H2*127</f>
        <v>9.5043651684589225E-2</v>
      </c>
    </row>
    <row r="13" spans="1:9" x14ac:dyDescent="0.2">
      <c r="A13" s="1">
        <v>45540</v>
      </c>
      <c r="B13" s="2">
        <v>222.38</v>
      </c>
      <c r="C13" s="8">
        <f t="shared" si="0"/>
        <v>6.9277790355444929E-3</v>
      </c>
      <c r="D13" s="8">
        <f t="shared" si="1"/>
        <v>6.9038922325676197E-3</v>
      </c>
      <c r="F13" t="s">
        <v>16</v>
      </c>
      <c r="G13">
        <f>(B127/B2)*(127/126)-1</f>
        <v>9.3907693903279021E-2</v>
      </c>
    </row>
    <row r="14" spans="1:9" x14ac:dyDescent="0.2">
      <c r="A14" s="1">
        <v>45541</v>
      </c>
      <c r="B14" s="2">
        <v>220.82</v>
      </c>
      <c r="C14" s="8">
        <f t="shared" si="0"/>
        <v>-7.0150193362712582E-3</v>
      </c>
      <c r="D14" s="8">
        <f t="shared" si="1"/>
        <v>-7.0397402641122122E-3</v>
      </c>
      <c r="F14" t="s">
        <v>17</v>
      </c>
      <c r="G14" s="12" cm="1">
        <f t="array" ref="G14">annualizedVolatility(B2:B127)</f>
        <v>0.15468397212096388</v>
      </c>
    </row>
    <row r="15" spans="1:9" x14ac:dyDescent="0.2">
      <c r="A15" s="1">
        <v>45544</v>
      </c>
      <c r="B15" s="2">
        <v>220.91</v>
      </c>
      <c r="C15" s="8">
        <f t="shared" si="0"/>
        <v>4.0757177791868223E-4</v>
      </c>
      <c r="D15" s="8">
        <f t="shared" si="1"/>
        <v>4.0748874310253498E-4</v>
      </c>
    </row>
    <row r="16" spans="1:9" x14ac:dyDescent="0.2">
      <c r="A16" s="1">
        <v>45545</v>
      </c>
      <c r="B16" s="2">
        <v>220.11</v>
      </c>
      <c r="C16" s="8">
        <f t="shared" si="0"/>
        <v>-3.6213842741387122E-3</v>
      </c>
      <c r="D16" s="8">
        <f t="shared" si="1"/>
        <v>-3.6279573600808664E-3</v>
      </c>
      <c r="F16" s="13"/>
      <c r="G16" s="13"/>
    </row>
    <row r="17" spans="1:4" x14ac:dyDescent="0.2">
      <c r="A17" s="1">
        <v>45546</v>
      </c>
      <c r="B17" s="2">
        <v>222.66</v>
      </c>
      <c r="C17" s="8">
        <f t="shared" si="0"/>
        <v>1.1585116532642692E-2</v>
      </c>
      <c r="D17" s="8">
        <f t="shared" si="1"/>
        <v>1.1518522906548473E-2</v>
      </c>
    </row>
    <row r="18" spans="1:4" x14ac:dyDescent="0.2">
      <c r="A18" s="1">
        <v>45547</v>
      </c>
      <c r="B18" s="2">
        <v>222.77</v>
      </c>
      <c r="C18" s="8">
        <f t="shared" si="0"/>
        <v>4.9402676726854238E-4</v>
      </c>
      <c r="D18" s="8">
        <f t="shared" si="1"/>
        <v>4.9390477622147076E-4</v>
      </c>
    </row>
    <row r="19" spans="1:4" x14ac:dyDescent="0.2">
      <c r="A19" s="1">
        <v>45548</v>
      </c>
      <c r="B19" s="2">
        <v>222.5</v>
      </c>
      <c r="C19" s="8">
        <f t="shared" si="0"/>
        <v>-1.2120123894600271E-3</v>
      </c>
      <c r="D19" s="8">
        <f t="shared" si="1"/>
        <v>-1.2127474704876769E-3</v>
      </c>
    </row>
    <row r="20" spans="1:4" x14ac:dyDescent="0.2">
      <c r="A20" s="1">
        <v>45551</v>
      </c>
      <c r="B20" s="2">
        <v>216.32</v>
      </c>
      <c r="C20" s="8">
        <f t="shared" si="0"/>
        <v>-2.7775280898876435E-2</v>
      </c>
      <c r="D20" s="8">
        <f t="shared" si="1"/>
        <v>-2.8168308751695719E-2</v>
      </c>
    </row>
    <row r="21" spans="1:4" x14ac:dyDescent="0.2">
      <c r="A21" s="1">
        <v>45552</v>
      </c>
      <c r="B21" s="2">
        <v>216.79</v>
      </c>
      <c r="C21" s="8">
        <f t="shared" si="0"/>
        <v>2.1727071005917106E-3</v>
      </c>
      <c r="D21" s="8">
        <f t="shared" si="1"/>
        <v>2.1703501858254429E-3</v>
      </c>
    </row>
    <row r="22" spans="1:4" x14ac:dyDescent="0.2">
      <c r="A22" s="1">
        <v>45553</v>
      </c>
      <c r="B22" s="2">
        <v>220.69</v>
      </c>
      <c r="C22" s="8">
        <f t="shared" si="0"/>
        <v>1.7989759675261802E-2</v>
      </c>
      <c r="D22" s="8">
        <f t="shared" si="1"/>
        <v>1.7829858819643829E-2</v>
      </c>
    </row>
    <row r="23" spans="1:4" x14ac:dyDescent="0.2">
      <c r="A23" s="1">
        <v>45554</v>
      </c>
      <c r="B23" s="2">
        <v>228.87</v>
      </c>
      <c r="C23" s="8">
        <f t="shared" si="0"/>
        <v>3.706556708505146E-2</v>
      </c>
      <c r="D23" s="8">
        <f t="shared" si="1"/>
        <v>3.6395154910179209E-2</v>
      </c>
    </row>
    <row r="24" spans="1:4" x14ac:dyDescent="0.2">
      <c r="A24" s="1">
        <v>45555</v>
      </c>
      <c r="B24" s="2">
        <v>228.2</v>
      </c>
      <c r="C24" s="8">
        <f t="shared" si="0"/>
        <v>-2.9274260497226196E-3</v>
      </c>
      <c r="D24" s="8">
        <f t="shared" si="1"/>
        <v>-2.9317193422724623E-3</v>
      </c>
    </row>
    <row r="25" spans="1:4" x14ac:dyDescent="0.2">
      <c r="A25" s="1">
        <v>45558</v>
      </c>
      <c r="B25" s="2">
        <v>226.47</v>
      </c>
      <c r="C25" s="8">
        <f t="shared" si="0"/>
        <v>-7.5810692375109104E-3</v>
      </c>
      <c r="D25" s="8">
        <f t="shared" si="1"/>
        <v>-7.6099516083320351E-3</v>
      </c>
    </row>
    <row r="26" spans="1:4" x14ac:dyDescent="0.2">
      <c r="A26" s="1">
        <v>45559</v>
      </c>
      <c r="B26" s="2">
        <v>227.37</v>
      </c>
      <c r="C26" s="8">
        <f t="shared" si="0"/>
        <v>3.9740362961981973E-3</v>
      </c>
      <c r="D26" s="8">
        <f t="shared" si="1"/>
        <v>3.9661606724042875E-3</v>
      </c>
    </row>
    <row r="27" spans="1:4" x14ac:dyDescent="0.2">
      <c r="A27" s="1">
        <v>45560</v>
      </c>
      <c r="B27" s="2">
        <v>226.37</v>
      </c>
      <c r="C27" s="8">
        <f t="shared" si="0"/>
        <v>-4.3981176056647753E-3</v>
      </c>
      <c r="D27" s="8">
        <f t="shared" si="1"/>
        <v>-4.407817777012997E-3</v>
      </c>
    </row>
    <row r="28" spans="1:4" x14ac:dyDescent="0.2">
      <c r="A28" s="1">
        <v>45561</v>
      </c>
      <c r="B28" s="2">
        <v>227.52</v>
      </c>
      <c r="C28" s="8">
        <f t="shared" si="0"/>
        <v>5.0801784688784104E-3</v>
      </c>
      <c r="D28" s="8">
        <f t="shared" si="1"/>
        <v>5.0673178998415468E-3</v>
      </c>
    </row>
    <row r="29" spans="1:4" x14ac:dyDescent="0.2">
      <c r="A29" s="1">
        <v>45562</v>
      </c>
      <c r="B29" s="2">
        <v>227.79</v>
      </c>
      <c r="C29" s="8">
        <f t="shared" si="0"/>
        <v>1.1867088607594137E-3</v>
      </c>
      <c r="D29" s="8">
        <f t="shared" si="1"/>
        <v>1.1860052783758518E-3</v>
      </c>
    </row>
    <row r="30" spans="1:4" x14ac:dyDescent="0.2">
      <c r="A30" s="1">
        <v>45565</v>
      </c>
      <c r="B30" s="2">
        <v>233</v>
      </c>
      <c r="C30" s="8">
        <f t="shared" si="0"/>
        <v>2.2871943456692603E-2</v>
      </c>
      <c r="D30" s="8">
        <f t="shared" si="1"/>
        <v>2.2614301672448562E-2</v>
      </c>
    </row>
    <row r="31" spans="1:4" x14ac:dyDescent="0.2">
      <c r="A31" s="1">
        <v>45566</v>
      </c>
      <c r="B31" s="2">
        <v>226.21</v>
      </c>
      <c r="C31" s="8">
        <f t="shared" si="0"/>
        <v>-2.9141630901287519E-2</v>
      </c>
      <c r="D31" s="8">
        <f t="shared" si="1"/>
        <v>-2.9574682195956357E-2</v>
      </c>
    </row>
    <row r="32" spans="1:4" x14ac:dyDescent="0.2">
      <c r="A32" s="1">
        <v>45567</v>
      </c>
      <c r="B32" s="2">
        <v>226.78</v>
      </c>
      <c r="C32" s="8">
        <f t="shared" si="0"/>
        <v>2.5197825029839227E-3</v>
      </c>
      <c r="D32" s="8">
        <f t="shared" si="1"/>
        <v>2.5166131739495158E-3</v>
      </c>
    </row>
    <row r="33" spans="1:4" x14ac:dyDescent="0.2">
      <c r="A33" s="1">
        <v>45568</v>
      </c>
      <c r="B33" s="2">
        <v>225.67</v>
      </c>
      <c r="C33" s="8">
        <f t="shared" si="0"/>
        <v>-4.8946115177705869E-3</v>
      </c>
      <c r="D33" s="8">
        <f t="shared" si="1"/>
        <v>-4.9066293598749146E-3</v>
      </c>
    </row>
    <row r="34" spans="1:4" x14ac:dyDescent="0.2">
      <c r="A34" s="1">
        <v>45569</v>
      </c>
      <c r="B34" s="2">
        <v>226.8</v>
      </c>
      <c r="C34" s="8">
        <f t="shared" si="0"/>
        <v>5.0073115611291887E-3</v>
      </c>
      <c r="D34" s="8">
        <f t="shared" si="1"/>
        <v>4.9948166697781288E-3</v>
      </c>
    </row>
    <row r="35" spans="1:4" x14ac:dyDescent="0.2">
      <c r="A35" s="1">
        <v>45572</v>
      </c>
      <c r="B35" s="2">
        <v>221.69</v>
      </c>
      <c r="C35" s="8">
        <f t="shared" ref="C35:C66" si="2">(B35-B34)/B34</f>
        <v>-2.2530864197530923E-2</v>
      </c>
      <c r="D35" s="8">
        <f t="shared" ref="D35:D66" si="3">LN(B35/B34)</f>
        <v>-2.2788562247735331E-2</v>
      </c>
    </row>
    <row r="36" spans="1:4" x14ac:dyDescent="0.2">
      <c r="A36" s="1">
        <v>45573</v>
      </c>
      <c r="B36" s="2">
        <v>225.77</v>
      </c>
      <c r="C36" s="8">
        <f t="shared" si="2"/>
        <v>1.8404077766250224E-2</v>
      </c>
      <c r="D36" s="8">
        <f t="shared" si="3"/>
        <v>1.8236772344019592E-2</v>
      </c>
    </row>
    <row r="37" spans="1:4" x14ac:dyDescent="0.2">
      <c r="A37" s="1">
        <v>45574</v>
      </c>
      <c r="B37" s="2">
        <v>229.54</v>
      </c>
      <c r="C37" s="8">
        <f t="shared" si="2"/>
        <v>1.6698409886167258E-2</v>
      </c>
      <c r="D37" s="8">
        <f t="shared" si="3"/>
        <v>1.6560524302640989E-2</v>
      </c>
    </row>
    <row r="38" spans="1:4" x14ac:dyDescent="0.2">
      <c r="A38" s="1">
        <v>45575</v>
      </c>
      <c r="B38" s="2">
        <v>229.04</v>
      </c>
      <c r="C38" s="8">
        <f t="shared" si="2"/>
        <v>-2.178269582643548E-3</v>
      </c>
      <c r="D38" s="8">
        <f t="shared" si="3"/>
        <v>-2.1806454626626935E-3</v>
      </c>
    </row>
    <row r="39" spans="1:4" x14ac:dyDescent="0.2">
      <c r="A39" s="1">
        <v>45576</v>
      </c>
      <c r="B39" s="2">
        <v>227.55</v>
      </c>
      <c r="C39" s="8">
        <f t="shared" si="2"/>
        <v>-6.5054139015018365E-3</v>
      </c>
      <c r="D39" s="8">
        <f t="shared" si="3"/>
        <v>-6.5266663272085766E-3</v>
      </c>
    </row>
    <row r="40" spans="1:4" x14ac:dyDescent="0.2">
      <c r="A40" s="1">
        <v>45579</v>
      </c>
      <c r="B40" s="2">
        <v>231.3</v>
      </c>
      <c r="C40" s="8">
        <f t="shared" si="2"/>
        <v>1.6479894528675015E-2</v>
      </c>
      <c r="D40" s="8">
        <f t="shared" si="3"/>
        <v>1.6345574774742577E-2</v>
      </c>
    </row>
    <row r="41" spans="1:4" x14ac:dyDescent="0.2">
      <c r="A41" s="1">
        <v>45580</v>
      </c>
      <c r="B41" s="2">
        <v>233.85</v>
      </c>
      <c r="C41" s="8">
        <f t="shared" si="2"/>
        <v>1.1024643320363091E-2</v>
      </c>
      <c r="D41" s="8">
        <f t="shared" si="3"/>
        <v>1.0964314934501682E-2</v>
      </c>
    </row>
    <row r="42" spans="1:4" x14ac:dyDescent="0.2">
      <c r="A42" s="1">
        <v>45581</v>
      </c>
      <c r="B42" s="2">
        <v>231.78</v>
      </c>
      <c r="C42" s="8">
        <f t="shared" si="2"/>
        <v>-8.8518280949326199E-3</v>
      </c>
      <c r="D42" s="8">
        <f t="shared" si="3"/>
        <v>-8.8912382656501972E-3</v>
      </c>
    </row>
    <row r="43" spans="1:4" x14ac:dyDescent="0.2">
      <c r="A43" s="1">
        <v>45582</v>
      </c>
      <c r="B43" s="2">
        <v>232.15</v>
      </c>
      <c r="C43" s="8">
        <f t="shared" si="2"/>
        <v>1.5963413581845049E-3</v>
      </c>
      <c r="D43" s="8">
        <f t="shared" si="3"/>
        <v>1.5950685596858294E-3</v>
      </c>
    </row>
    <row r="44" spans="1:4" x14ac:dyDescent="0.2">
      <c r="A44" s="1">
        <v>45583</v>
      </c>
      <c r="B44" s="2">
        <v>235</v>
      </c>
      <c r="C44" s="8">
        <f t="shared" si="2"/>
        <v>1.2276545337066527E-2</v>
      </c>
      <c r="D44" s="8">
        <f t="shared" si="3"/>
        <v>1.2201799678228265E-2</v>
      </c>
    </row>
    <row r="45" spans="1:4" x14ac:dyDescent="0.2">
      <c r="A45" s="1">
        <v>45586</v>
      </c>
      <c r="B45" s="2">
        <v>236.48</v>
      </c>
      <c r="C45" s="8">
        <f t="shared" si="2"/>
        <v>6.2978723404254885E-3</v>
      </c>
      <c r="D45" s="8">
        <f t="shared" si="3"/>
        <v>6.278123615677908E-3</v>
      </c>
    </row>
    <row r="46" spans="1:4" x14ac:dyDescent="0.2">
      <c r="A46" s="1">
        <v>45587</v>
      </c>
      <c r="B46" s="2">
        <v>235.86</v>
      </c>
      <c r="C46" s="8">
        <f t="shared" si="2"/>
        <v>-2.6217861975641752E-3</v>
      </c>
      <c r="D46" s="8">
        <f t="shared" si="3"/>
        <v>-2.625229098012868E-3</v>
      </c>
    </row>
    <row r="47" spans="1:4" x14ac:dyDescent="0.2">
      <c r="A47" s="1">
        <v>45588</v>
      </c>
      <c r="B47" s="2">
        <v>230.76</v>
      </c>
      <c r="C47" s="8">
        <f t="shared" si="2"/>
        <v>-2.1622996692953544E-2</v>
      </c>
      <c r="D47" s="8">
        <f t="shared" si="3"/>
        <v>-2.1860199273135369E-2</v>
      </c>
    </row>
    <row r="48" spans="1:4" x14ac:dyDescent="0.2">
      <c r="A48" s="1">
        <v>45589</v>
      </c>
      <c r="B48" s="2">
        <v>230.57</v>
      </c>
      <c r="C48" s="8">
        <f t="shared" si="2"/>
        <v>-8.2336626798404291E-4</v>
      </c>
      <c r="D48" s="8">
        <f t="shared" si="3"/>
        <v>-8.2370542016678883E-4</v>
      </c>
    </row>
    <row r="49" spans="1:4" x14ac:dyDescent="0.2">
      <c r="A49" s="1">
        <v>45590</v>
      </c>
      <c r="B49" s="2">
        <v>231.41</v>
      </c>
      <c r="C49" s="8">
        <f t="shared" si="2"/>
        <v>3.6431452487314196E-3</v>
      </c>
      <c r="D49" s="8">
        <f t="shared" si="3"/>
        <v>3.6365250690583951E-3</v>
      </c>
    </row>
    <row r="50" spans="1:4" x14ac:dyDescent="0.2">
      <c r="A50" s="1">
        <v>45593</v>
      </c>
      <c r="B50" s="2">
        <v>233.4</v>
      </c>
      <c r="C50" s="8">
        <f t="shared" si="2"/>
        <v>8.599455511862102E-3</v>
      </c>
      <c r="D50" s="8">
        <f t="shared" si="3"/>
        <v>8.5626908148752033E-3</v>
      </c>
    </row>
    <row r="51" spans="1:4" x14ac:dyDescent="0.2">
      <c r="A51" s="1">
        <v>45594</v>
      </c>
      <c r="B51" s="2">
        <v>233.67</v>
      </c>
      <c r="C51" s="8">
        <f t="shared" si="2"/>
        <v>1.1568123393315415E-3</v>
      </c>
      <c r="D51" s="8">
        <f t="shared" si="3"/>
        <v>1.1561437475111353E-3</v>
      </c>
    </row>
    <row r="52" spans="1:4" x14ac:dyDescent="0.2">
      <c r="A52" s="1">
        <v>45595</v>
      </c>
      <c r="B52" s="2">
        <v>230.1</v>
      </c>
      <c r="C52" s="8">
        <f t="shared" si="2"/>
        <v>-1.5277956091924481E-2</v>
      </c>
      <c r="D52" s="8">
        <f t="shared" si="3"/>
        <v>-1.5395866558646653E-2</v>
      </c>
    </row>
    <row r="53" spans="1:4" x14ac:dyDescent="0.2">
      <c r="A53" s="1">
        <v>45596</v>
      </c>
      <c r="B53" s="2">
        <v>225.91</v>
      </c>
      <c r="C53" s="8">
        <f t="shared" si="2"/>
        <v>-1.8209474141677524E-2</v>
      </c>
      <c r="D53" s="8">
        <f t="shared" si="3"/>
        <v>-1.8377307172189244E-2</v>
      </c>
    </row>
    <row r="54" spans="1:4" x14ac:dyDescent="0.2">
      <c r="A54" s="1">
        <v>45597</v>
      </c>
      <c r="B54" s="2">
        <v>222.91</v>
      </c>
      <c r="C54" s="8">
        <f t="shared" si="2"/>
        <v>-1.3279624629277146E-2</v>
      </c>
      <c r="D54" s="8">
        <f t="shared" si="3"/>
        <v>-1.3368587316289905E-2</v>
      </c>
    </row>
    <row r="55" spans="1:4" x14ac:dyDescent="0.2">
      <c r="A55" s="1">
        <v>45600</v>
      </c>
      <c r="B55" s="2">
        <v>222.01</v>
      </c>
      <c r="C55" s="8">
        <f t="shared" si="2"/>
        <v>-4.0375039253510644E-3</v>
      </c>
      <c r="D55" s="8">
        <f t="shared" si="3"/>
        <v>-4.0456766500141109E-3</v>
      </c>
    </row>
    <row r="56" spans="1:4" x14ac:dyDescent="0.2">
      <c r="A56" s="1">
        <v>45601</v>
      </c>
      <c r="B56" s="2">
        <v>223.45</v>
      </c>
      <c r="C56" s="8">
        <f t="shared" si="2"/>
        <v>6.4861943155713605E-3</v>
      </c>
      <c r="D56" s="8">
        <f t="shared" si="3"/>
        <v>6.4652494766336294E-3</v>
      </c>
    </row>
    <row r="57" spans="1:4" x14ac:dyDescent="0.2">
      <c r="A57" s="1">
        <v>45602</v>
      </c>
      <c r="B57" s="2">
        <v>222.72</v>
      </c>
      <c r="C57" s="8">
        <f t="shared" si="2"/>
        <v>-3.2669501006936221E-3</v>
      </c>
      <c r="D57" s="8">
        <f t="shared" si="3"/>
        <v>-3.2722982334056835E-3</v>
      </c>
    </row>
    <row r="58" spans="1:4" x14ac:dyDescent="0.2">
      <c r="A58" s="1">
        <v>45603</v>
      </c>
      <c r="B58" s="2">
        <v>227.48</v>
      </c>
      <c r="C58" s="8">
        <f t="shared" si="2"/>
        <v>2.1372126436781567E-2</v>
      </c>
      <c r="D58" s="8">
        <f t="shared" si="3"/>
        <v>2.1146945292544149E-2</v>
      </c>
    </row>
    <row r="59" spans="1:4" x14ac:dyDescent="0.2">
      <c r="A59" s="1">
        <v>45604</v>
      </c>
      <c r="B59" s="2">
        <v>226.96</v>
      </c>
      <c r="C59" s="8">
        <f t="shared" si="2"/>
        <v>-2.2859152452962099E-3</v>
      </c>
      <c r="D59" s="8">
        <f t="shared" si="3"/>
        <v>-2.2885319380029265E-3</v>
      </c>
    </row>
    <row r="60" spans="1:4" x14ac:dyDescent="0.2">
      <c r="A60" s="1">
        <v>45607</v>
      </c>
      <c r="B60" s="2">
        <v>224.23</v>
      </c>
      <c r="C60" s="8">
        <f t="shared" si="2"/>
        <v>-1.2028551286570401E-2</v>
      </c>
      <c r="D60" s="8">
        <f t="shared" si="3"/>
        <v>-1.2101479715156712E-2</v>
      </c>
    </row>
    <row r="61" spans="1:4" x14ac:dyDescent="0.2">
      <c r="A61" s="1">
        <v>45608</v>
      </c>
      <c r="B61" s="2">
        <v>224.23</v>
      </c>
      <c r="C61" s="8">
        <f t="shared" si="2"/>
        <v>0</v>
      </c>
      <c r="D61" s="8">
        <f t="shared" si="3"/>
        <v>0</v>
      </c>
    </row>
    <row r="62" spans="1:4" x14ac:dyDescent="0.2">
      <c r="A62" s="1">
        <v>45609</v>
      </c>
      <c r="B62" s="2">
        <v>225.12</v>
      </c>
      <c r="C62" s="8">
        <f t="shared" si="2"/>
        <v>3.9691388306650087E-3</v>
      </c>
      <c r="D62" s="8">
        <f t="shared" si="3"/>
        <v>3.9612825806397481E-3</v>
      </c>
    </row>
    <row r="63" spans="1:4" x14ac:dyDescent="0.2">
      <c r="A63" s="1">
        <v>45610</v>
      </c>
      <c r="B63" s="2">
        <v>228.22</v>
      </c>
      <c r="C63" s="8">
        <f t="shared" si="2"/>
        <v>1.3770433546552925E-2</v>
      </c>
      <c r="D63" s="8">
        <f t="shared" si="3"/>
        <v>1.3676482640454679E-2</v>
      </c>
    </row>
    <row r="64" spans="1:4" x14ac:dyDescent="0.2">
      <c r="A64" s="1">
        <v>45611</v>
      </c>
      <c r="B64" s="2">
        <v>225</v>
      </c>
      <c r="C64" s="8">
        <f t="shared" si="2"/>
        <v>-1.4109192884059237E-2</v>
      </c>
      <c r="D64" s="8">
        <f t="shared" si="3"/>
        <v>-1.4209673802113448E-2</v>
      </c>
    </row>
    <row r="65" spans="1:4" x14ac:dyDescent="0.2">
      <c r="A65" s="1">
        <v>45614</v>
      </c>
      <c r="B65" s="2">
        <v>228.02</v>
      </c>
      <c r="C65" s="8">
        <f t="shared" si="2"/>
        <v>1.3422222222222268E-2</v>
      </c>
      <c r="D65" s="8">
        <f t="shared" si="3"/>
        <v>1.3332942201153587E-2</v>
      </c>
    </row>
    <row r="66" spans="1:4" x14ac:dyDescent="0.2">
      <c r="A66" s="1">
        <v>45615</v>
      </c>
      <c r="B66" s="2">
        <v>228.28</v>
      </c>
      <c r="C66" s="8">
        <f t="shared" si="2"/>
        <v>1.1402508551881015E-3</v>
      </c>
      <c r="D66" s="8">
        <f t="shared" si="3"/>
        <v>1.1396012629335743E-3</v>
      </c>
    </row>
    <row r="67" spans="1:4" x14ac:dyDescent="0.2">
      <c r="A67" s="1">
        <v>45616</v>
      </c>
      <c r="B67" s="2">
        <v>229</v>
      </c>
      <c r="C67" s="8">
        <f t="shared" ref="C67:C98" si="4">(B67-B66)/B66</f>
        <v>3.1540213772559963E-3</v>
      </c>
      <c r="D67" s="8">
        <f t="shared" ref="D67:D98" si="5">LN(B67/B66)</f>
        <v>3.1490578857323766E-3</v>
      </c>
    </row>
    <row r="68" spans="1:4" x14ac:dyDescent="0.2">
      <c r="A68" s="1">
        <v>45617</v>
      </c>
      <c r="B68" s="2">
        <v>228.52</v>
      </c>
      <c r="C68" s="8">
        <f t="shared" si="4"/>
        <v>-2.0960698689955885E-3</v>
      </c>
      <c r="D68" s="8">
        <f t="shared" si="5"/>
        <v>-2.0982696979778065E-3</v>
      </c>
    </row>
    <row r="69" spans="1:4" x14ac:dyDescent="0.2">
      <c r="A69" s="1">
        <v>45618</v>
      </c>
      <c r="B69" s="2">
        <v>229.87</v>
      </c>
      <c r="C69" s="8">
        <f t="shared" si="4"/>
        <v>5.907579205321172E-3</v>
      </c>
      <c r="D69" s="8">
        <f t="shared" si="5"/>
        <v>5.890197880063815E-3</v>
      </c>
    </row>
    <row r="70" spans="1:4" x14ac:dyDescent="0.2">
      <c r="A70" s="1">
        <v>45621</v>
      </c>
      <c r="B70" s="2">
        <v>232.87</v>
      </c>
      <c r="C70" s="8">
        <f t="shared" si="4"/>
        <v>1.3050854830991429E-2</v>
      </c>
      <c r="D70" s="8">
        <f t="shared" si="5"/>
        <v>1.2966426208818584E-2</v>
      </c>
    </row>
    <row r="71" spans="1:4" x14ac:dyDescent="0.2">
      <c r="A71" s="1">
        <v>45622</v>
      </c>
      <c r="B71" s="2">
        <v>235.06</v>
      </c>
      <c r="C71" s="8">
        <f t="shared" si="4"/>
        <v>9.4043887147335324E-3</v>
      </c>
      <c r="D71" s="8">
        <f t="shared" si="5"/>
        <v>9.3604427595636724E-3</v>
      </c>
    </row>
    <row r="72" spans="1:4" x14ac:dyDescent="0.2">
      <c r="A72" s="1">
        <v>45623</v>
      </c>
      <c r="B72" s="2">
        <v>234.93</v>
      </c>
      <c r="C72" s="8">
        <f t="shared" si="4"/>
        <v>-5.530502850335891E-4</v>
      </c>
      <c r="D72" s="8">
        <f t="shared" si="5"/>
        <v>-5.5320327375206512E-4</v>
      </c>
    </row>
    <row r="73" spans="1:4" x14ac:dyDescent="0.2">
      <c r="A73" s="1">
        <v>45625</v>
      </c>
      <c r="B73" s="2">
        <v>237.33</v>
      </c>
      <c r="C73" s="8">
        <f t="shared" si="4"/>
        <v>1.0215808964372391E-2</v>
      </c>
      <c r="D73" s="8">
        <f t="shared" si="5"/>
        <v>1.0163980270458799E-2</v>
      </c>
    </row>
    <row r="74" spans="1:4" x14ac:dyDescent="0.2">
      <c r="A74" s="1">
        <v>45628</v>
      </c>
      <c r="B74" s="2">
        <v>239.59</v>
      </c>
      <c r="C74" s="8">
        <f t="shared" si="4"/>
        <v>9.5226056545737615E-3</v>
      </c>
      <c r="D74" s="8">
        <f t="shared" si="5"/>
        <v>9.477551441854002E-3</v>
      </c>
    </row>
    <row r="75" spans="1:4" x14ac:dyDescent="0.2">
      <c r="A75" s="1">
        <v>45629</v>
      </c>
      <c r="B75" s="2">
        <v>242.65</v>
      </c>
      <c r="C75" s="8">
        <f t="shared" si="4"/>
        <v>1.2771818523310665E-2</v>
      </c>
      <c r="D75" s="8">
        <f t="shared" si="5"/>
        <v>1.269094670795666E-2</v>
      </c>
    </row>
    <row r="76" spans="1:4" x14ac:dyDescent="0.2">
      <c r="A76" s="1">
        <v>45630</v>
      </c>
      <c r="B76" s="2">
        <v>243.01</v>
      </c>
      <c r="C76" s="8">
        <f t="shared" si="4"/>
        <v>1.4836183803832071E-3</v>
      </c>
      <c r="D76" s="8">
        <f t="shared" si="5"/>
        <v>1.4825189059665656E-3</v>
      </c>
    </row>
    <row r="77" spans="1:4" x14ac:dyDescent="0.2">
      <c r="A77" s="1">
        <v>45631</v>
      </c>
      <c r="B77" s="2">
        <v>243.04</v>
      </c>
      <c r="C77" s="8">
        <f t="shared" si="4"/>
        <v>1.2345170980618549E-4</v>
      </c>
      <c r="D77" s="8">
        <f t="shared" si="5"/>
        <v>1.2344409027086238E-4</v>
      </c>
    </row>
    <row r="78" spans="1:4" x14ac:dyDescent="0.2">
      <c r="A78" s="1">
        <v>45632</v>
      </c>
      <c r="B78" s="2">
        <v>242.84</v>
      </c>
      <c r="C78" s="8">
        <f t="shared" si="4"/>
        <v>-8.2290980908487758E-4</v>
      </c>
      <c r="D78" s="8">
        <f t="shared" si="5"/>
        <v>-8.2324858522934052E-4</v>
      </c>
    </row>
    <row r="79" spans="1:4" x14ac:dyDescent="0.2">
      <c r="A79" s="1">
        <v>45635</v>
      </c>
      <c r="B79" s="2">
        <v>246.75</v>
      </c>
      <c r="C79" s="8">
        <f t="shared" si="4"/>
        <v>1.6101136550815336E-2</v>
      </c>
      <c r="D79" s="8">
        <f t="shared" si="5"/>
        <v>1.5972888051357558E-2</v>
      </c>
    </row>
    <row r="80" spans="1:4" x14ac:dyDescent="0.2">
      <c r="A80" s="1">
        <v>45636</v>
      </c>
      <c r="B80" s="2">
        <v>247.77</v>
      </c>
      <c r="C80" s="8">
        <f t="shared" si="4"/>
        <v>4.1337386018237493E-3</v>
      </c>
      <c r="D80" s="8">
        <f t="shared" si="5"/>
        <v>4.1252181771443009E-3</v>
      </c>
    </row>
    <row r="81" spans="1:4" x14ac:dyDescent="0.2">
      <c r="A81" s="1">
        <v>45637</v>
      </c>
      <c r="B81" s="2">
        <v>246.49</v>
      </c>
      <c r="C81" s="8">
        <f t="shared" si="4"/>
        <v>-5.166081446502809E-3</v>
      </c>
      <c r="D81" s="8">
        <f t="shared" si="5"/>
        <v>-5.1794717822105452E-3</v>
      </c>
    </row>
    <row r="82" spans="1:4" x14ac:dyDescent="0.2">
      <c r="A82" s="1">
        <v>45638</v>
      </c>
      <c r="B82" s="2">
        <v>247.96</v>
      </c>
      <c r="C82" s="8">
        <f t="shared" si="4"/>
        <v>5.9637307801533486E-3</v>
      </c>
      <c r="D82" s="8">
        <f t="shared" si="5"/>
        <v>5.9460181251939897E-3</v>
      </c>
    </row>
    <row r="83" spans="1:4" x14ac:dyDescent="0.2">
      <c r="A83" s="1">
        <v>45639</v>
      </c>
      <c r="B83" s="2">
        <v>248.13</v>
      </c>
      <c r="C83" s="8">
        <f t="shared" si="4"/>
        <v>6.8559445071780724E-4</v>
      </c>
      <c r="D83" s="8">
        <f t="shared" si="5"/>
        <v>6.8535953820605803E-4</v>
      </c>
    </row>
    <row r="84" spans="1:4" x14ac:dyDescent="0.2">
      <c r="A84" s="1">
        <v>45642</v>
      </c>
      <c r="B84" s="2">
        <v>251.04</v>
      </c>
      <c r="C84" s="8">
        <f t="shared" si="4"/>
        <v>1.1727723370813672E-2</v>
      </c>
      <c r="D84" s="8">
        <f t="shared" si="5"/>
        <v>1.1659486612797755E-2</v>
      </c>
    </row>
    <row r="85" spans="1:4" x14ac:dyDescent="0.2">
      <c r="A85" s="1">
        <v>45643</v>
      </c>
      <c r="B85" s="2">
        <v>253.48</v>
      </c>
      <c r="C85" s="8">
        <f t="shared" si="4"/>
        <v>9.7195666029317954E-3</v>
      </c>
      <c r="D85" s="8">
        <f t="shared" si="5"/>
        <v>9.6726354705936723E-3</v>
      </c>
    </row>
    <row r="86" spans="1:4" x14ac:dyDescent="0.2">
      <c r="A86" s="1">
        <v>45644</v>
      </c>
      <c r="B86" s="2">
        <v>248.05</v>
      </c>
      <c r="C86" s="8">
        <f t="shared" si="4"/>
        <v>-2.1421808426700249E-2</v>
      </c>
      <c r="D86" s="8">
        <f t="shared" si="5"/>
        <v>-2.1654585708258262E-2</v>
      </c>
    </row>
    <row r="87" spans="1:4" x14ac:dyDescent="0.2">
      <c r="A87" s="1">
        <v>45645</v>
      </c>
      <c r="B87" s="2">
        <v>249.79</v>
      </c>
      <c r="C87" s="8">
        <f t="shared" si="4"/>
        <v>7.0147147752468476E-3</v>
      </c>
      <c r="D87" s="8">
        <f t="shared" si="5"/>
        <v>6.9902261174959015E-3</v>
      </c>
    </row>
    <row r="88" spans="1:4" x14ac:dyDescent="0.2">
      <c r="A88" s="1">
        <v>45646</v>
      </c>
      <c r="B88" s="2">
        <v>254.49</v>
      </c>
      <c r="C88" s="8">
        <f t="shared" si="4"/>
        <v>1.8815805276432271E-2</v>
      </c>
      <c r="D88" s="8">
        <f t="shared" si="5"/>
        <v>1.8640977623199214E-2</v>
      </c>
    </row>
    <row r="89" spans="1:4" x14ac:dyDescent="0.2">
      <c r="A89" s="1">
        <v>45649</v>
      </c>
      <c r="B89" s="2">
        <v>255.27</v>
      </c>
      <c r="C89" s="8">
        <f t="shared" si="4"/>
        <v>3.0649534362843377E-3</v>
      </c>
      <c r="D89" s="8">
        <f t="shared" si="5"/>
        <v>3.0602660418225774E-3</v>
      </c>
    </row>
    <row r="90" spans="1:4" x14ac:dyDescent="0.2">
      <c r="A90" s="1">
        <v>45650</v>
      </c>
      <c r="B90" s="2">
        <v>258.2</v>
      </c>
      <c r="C90" s="8">
        <f t="shared" si="4"/>
        <v>1.147804285658314E-2</v>
      </c>
      <c r="D90" s="8">
        <f t="shared" si="5"/>
        <v>1.1412669882966294E-2</v>
      </c>
    </row>
    <row r="91" spans="1:4" x14ac:dyDescent="0.2">
      <c r="A91" s="1">
        <v>45652</v>
      </c>
      <c r="B91" s="2">
        <v>259.02</v>
      </c>
      <c r="C91" s="8">
        <f t="shared" si="4"/>
        <v>3.1758326878388583E-3</v>
      </c>
      <c r="D91" s="8">
        <f t="shared" si="5"/>
        <v>3.1708003828989626E-3</v>
      </c>
    </row>
    <row r="92" spans="1:4" x14ac:dyDescent="0.2">
      <c r="A92" s="1">
        <v>45653</v>
      </c>
      <c r="B92" s="2">
        <v>255.59</v>
      </c>
      <c r="C92" s="8">
        <f t="shared" si="4"/>
        <v>-1.3242220677939846E-2</v>
      </c>
      <c r="D92" s="8">
        <f t="shared" si="5"/>
        <v>-1.3330680688083499E-2</v>
      </c>
    </row>
    <row r="93" spans="1:4" x14ac:dyDescent="0.2">
      <c r="A93" s="1">
        <v>45656</v>
      </c>
      <c r="B93" s="2">
        <v>252.2</v>
      </c>
      <c r="C93" s="8">
        <f t="shared" si="4"/>
        <v>-1.3263429711647618E-2</v>
      </c>
      <c r="D93" s="8">
        <f t="shared" si="5"/>
        <v>-1.3352174576538492E-2</v>
      </c>
    </row>
    <row r="94" spans="1:4" x14ac:dyDescent="0.2">
      <c r="A94" s="1">
        <v>45657</v>
      </c>
      <c r="B94" s="2">
        <v>250.42</v>
      </c>
      <c r="C94" s="8">
        <f t="shared" si="4"/>
        <v>-7.0578905630452066E-3</v>
      </c>
      <c r="D94" s="8">
        <f t="shared" si="5"/>
        <v>-7.0829152900175382E-3</v>
      </c>
    </row>
    <row r="95" spans="1:4" x14ac:dyDescent="0.2">
      <c r="A95" s="1">
        <v>45659</v>
      </c>
      <c r="B95" s="2">
        <v>243.85</v>
      </c>
      <c r="C95" s="8">
        <f t="shared" si="4"/>
        <v>-2.6235923648270879E-2</v>
      </c>
      <c r="D95" s="8">
        <f t="shared" si="5"/>
        <v>-2.6586226084739983E-2</v>
      </c>
    </row>
    <row r="96" spans="1:4" x14ac:dyDescent="0.2">
      <c r="A96" s="1">
        <v>45660</v>
      </c>
      <c r="B96" s="2">
        <v>243.36</v>
      </c>
      <c r="C96" s="8">
        <f t="shared" si="4"/>
        <v>-2.0094320278859165E-3</v>
      </c>
      <c r="D96" s="8">
        <f t="shared" si="5"/>
        <v>-2.0114536450788353E-3</v>
      </c>
    </row>
    <row r="97" spans="1:4" x14ac:dyDescent="0.2">
      <c r="A97" s="1">
        <v>45663</v>
      </c>
      <c r="B97" s="2">
        <v>245</v>
      </c>
      <c r="C97" s="8">
        <f t="shared" si="4"/>
        <v>6.7389875082182211E-3</v>
      </c>
      <c r="D97" s="8">
        <f t="shared" si="5"/>
        <v>6.7163820337442027E-3</v>
      </c>
    </row>
    <row r="98" spans="1:4" x14ac:dyDescent="0.2">
      <c r="A98" s="1">
        <v>45664</v>
      </c>
      <c r="B98" s="2">
        <v>242.21</v>
      </c>
      <c r="C98" s="8">
        <f t="shared" si="4"/>
        <v>-1.1387755102040783E-2</v>
      </c>
      <c r="D98" s="8">
        <f t="shared" si="5"/>
        <v>-1.1453092086491822E-2</v>
      </c>
    </row>
    <row r="99" spans="1:4" x14ac:dyDescent="0.2">
      <c r="A99" s="1">
        <v>45665</v>
      </c>
      <c r="B99" s="2">
        <v>242.7</v>
      </c>
      <c r="C99" s="8">
        <f t="shared" ref="C99:C127" si="6">(B99-B98)/B98</f>
        <v>2.0230378597084374E-3</v>
      </c>
      <c r="D99" s="8">
        <f t="shared" ref="D99:D127" si="7">LN(B99/B98)</f>
        <v>2.0209942743203797E-3</v>
      </c>
    </row>
    <row r="100" spans="1:4" x14ac:dyDescent="0.2">
      <c r="A100" s="1">
        <v>45667</v>
      </c>
      <c r="B100" s="2">
        <v>236.85</v>
      </c>
      <c r="C100" s="8">
        <f t="shared" si="6"/>
        <v>-2.4103831891223712E-2</v>
      </c>
      <c r="D100" s="8">
        <f t="shared" si="7"/>
        <v>-2.4399083362794845E-2</v>
      </c>
    </row>
    <row r="101" spans="1:4" x14ac:dyDescent="0.2">
      <c r="A101" s="1">
        <v>45670</v>
      </c>
      <c r="B101" s="2">
        <v>234.4</v>
      </c>
      <c r="C101" s="8">
        <f t="shared" si="6"/>
        <v>-1.0344099641123025E-2</v>
      </c>
      <c r="D101" s="8">
        <f t="shared" si="7"/>
        <v>-1.0397971666903203E-2</v>
      </c>
    </row>
    <row r="102" spans="1:4" x14ac:dyDescent="0.2">
      <c r="A102" s="1">
        <v>45671</v>
      </c>
      <c r="B102" s="2">
        <v>233.28</v>
      </c>
      <c r="C102" s="8">
        <f t="shared" si="6"/>
        <v>-4.7781569965870503E-3</v>
      </c>
      <c r="D102" s="8">
        <f t="shared" si="7"/>
        <v>-4.7896088825642048E-3</v>
      </c>
    </row>
    <row r="103" spans="1:4" x14ac:dyDescent="0.2">
      <c r="A103" s="1">
        <v>45672</v>
      </c>
      <c r="B103" s="2">
        <v>237.87</v>
      </c>
      <c r="C103" s="8">
        <f t="shared" si="6"/>
        <v>1.967592592592594E-2</v>
      </c>
      <c r="D103" s="8">
        <f t="shared" si="7"/>
        <v>1.9484857132124001E-2</v>
      </c>
    </row>
    <row r="104" spans="1:4" x14ac:dyDescent="0.2">
      <c r="A104" s="1">
        <v>45673</v>
      </c>
      <c r="B104" s="2">
        <v>228.26</v>
      </c>
      <c r="C104" s="8">
        <f t="shared" si="6"/>
        <v>-4.0400218606802089E-2</v>
      </c>
      <c r="D104" s="8">
        <f t="shared" si="7"/>
        <v>-4.1238975826963314E-2</v>
      </c>
    </row>
    <row r="105" spans="1:4" x14ac:dyDescent="0.2">
      <c r="A105" s="1">
        <v>45674</v>
      </c>
      <c r="B105" s="2">
        <v>229.98</v>
      </c>
      <c r="C105" s="8">
        <f t="shared" si="6"/>
        <v>7.5352668010163805E-3</v>
      </c>
      <c r="D105" s="8">
        <f t="shared" si="7"/>
        <v>7.5070184950648353E-3</v>
      </c>
    </row>
    <row r="106" spans="1:4" x14ac:dyDescent="0.2">
      <c r="A106" s="1">
        <v>45678</v>
      </c>
      <c r="B106" s="2">
        <v>222.64</v>
      </c>
      <c r="C106" s="8">
        <f t="shared" si="6"/>
        <v>-3.1915818766849305E-2</v>
      </c>
      <c r="D106" s="8">
        <f t="shared" si="7"/>
        <v>-3.2436231402883438E-2</v>
      </c>
    </row>
    <row r="107" spans="1:4" x14ac:dyDescent="0.2">
      <c r="A107" s="1">
        <v>45679</v>
      </c>
      <c r="B107" s="2">
        <v>223.83</v>
      </c>
      <c r="C107" s="8">
        <f t="shared" si="6"/>
        <v>5.3449514911966681E-3</v>
      </c>
      <c r="D107" s="8">
        <f t="shared" si="7"/>
        <v>5.3307179338975266E-3</v>
      </c>
    </row>
    <row r="108" spans="1:4" x14ac:dyDescent="0.2">
      <c r="A108" s="1">
        <v>45680</v>
      </c>
      <c r="B108" s="2">
        <v>223.66</v>
      </c>
      <c r="C108" s="8">
        <f t="shared" si="6"/>
        <v>-7.5950498145921418E-4</v>
      </c>
      <c r="D108" s="8">
        <f t="shared" si="7"/>
        <v>-7.5979355149053557E-4</v>
      </c>
    </row>
    <row r="109" spans="1:4" x14ac:dyDescent="0.2">
      <c r="A109" s="1">
        <v>45681</v>
      </c>
      <c r="B109" s="2">
        <v>222.78</v>
      </c>
      <c r="C109" s="8">
        <f t="shared" si="6"/>
        <v>-3.934543503532127E-3</v>
      </c>
      <c r="D109" s="8">
        <f t="shared" si="7"/>
        <v>-3.9423041829985839E-3</v>
      </c>
    </row>
    <row r="110" spans="1:4" x14ac:dyDescent="0.2">
      <c r="A110" s="1">
        <v>45684</v>
      </c>
      <c r="B110" s="2">
        <v>229.86</v>
      </c>
      <c r="C110" s="8">
        <f t="shared" si="6"/>
        <v>3.1780231618637279E-2</v>
      </c>
      <c r="D110" s="8">
        <f t="shared" si="7"/>
        <v>3.1285690523568978E-2</v>
      </c>
    </row>
    <row r="111" spans="1:4" x14ac:dyDescent="0.2">
      <c r="A111" s="1">
        <v>45685</v>
      </c>
      <c r="B111" s="2">
        <v>238.26</v>
      </c>
      <c r="C111" s="8">
        <f t="shared" si="6"/>
        <v>3.6543983294178961E-2</v>
      </c>
      <c r="D111" s="8">
        <f t="shared" si="7"/>
        <v>3.5892086430602384E-2</v>
      </c>
    </row>
    <row r="112" spans="1:4" x14ac:dyDescent="0.2">
      <c r="A112" s="1">
        <v>45686</v>
      </c>
      <c r="B112" s="2">
        <v>239.36</v>
      </c>
      <c r="C112" s="8">
        <f t="shared" si="6"/>
        <v>4.6168051708218869E-3</v>
      </c>
      <c r="D112" s="8">
        <f t="shared" si="7"/>
        <v>4.6061804148975023E-3</v>
      </c>
    </row>
    <row r="113" spans="1:4" x14ac:dyDescent="0.2">
      <c r="A113" s="1">
        <v>45687</v>
      </c>
      <c r="B113" s="2">
        <v>237.59</v>
      </c>
      <c r="C113" s="8">
        <f t="shared" si="6"/>
        <v>-7.394719251336941E-3</v>
      </c>
      <c r="D113" s="8">
        <f t="shared" si="7"/>
        <v>-7.4221957254156003E-3</v>
      </c>
    </row>
    <row r="114" spans="1:4" x14ac:dyDescent="0.2">
      <c r="A114" s="1">
        <v>45688</v>
      </c>
      <c r="B114" s="2">
        <v>236</v>
      </c>
      <c r="C114" s="8">
        <f t="shared" si="6"/>
        <v>-6.6922008502041472E-3</v>
      </c>
      <c r="D114" s="8">
        <f t="shared" si="7"/>
        <v>-6.714694035086833E-3</v>
      </c>
    </row>
    <row r="115" spans="1:4" x14ac:dyDescent="0.2">
      <c r="A115" s="1">
        <v>45691</v>
      </c>
      <c r="B115" s="2">
        <v>228.01</v>
      </c>
      <c r="C115" s="8">
        <f t="shared" si="6"/>
        <v>-3.3855932203389866E-2</v>
      </c>
      <c r="D115" s="8">
        <f t="shared" si="7"/>
        <v>-3.4442317383852845E-2</v>
      </c>
    </row>
    <row r="116" spans="1:4" x14ac:dyDescent="0.2">
      <c r="A116" s="1">
        <v>45692</v>
      </c>
      <c r="B116" s="2">
        <v>232.8</v>
      </c>
      <c r="C116" s="8">
        <f t="shared" si="6"/>
        <v>2.1007850532871457E-2</v>
      </c>
      <c r="D116" s="8">
        <f t="shared" si="7"/>
        <v>2.0790228215525564E-2</v>
      </c>
    </row>
    <row r="117" spans="1:4" x14ac:dyDescent="0.2">
      <c r="A117" s="1">
        <v>45693</v>
      </c>
      <c r="B117" s="2">
        <v>232.47</v>
      </c>
      <c r="C117" s="8">
        <f t="shared" si="6"/>
        <v>-1.41752577319593E-3</v>
      </c>
      <c r="D117" s="8">
        <f t="shared" si="7"/>
        <v>-1.4185314133143574E-3</v>
      </c>
    </row>
    <row r="118" spans="1:4" x14ac:dyDescent="0.2">
      <c r="A118" s="1">
        <v>45694</v>
      </c>
      <c r="B118" s="2">
        <v>233.22</v>
      </c>
      <c r="C118" s="8">
        <f t="shared" si="6"/>
        <v>3.2262227384178602E-3</v>
      </c>
      <c r="D118" s="8">
        <f t="shared" si="7"/>
        <v>3.2210296482183117E-3</v>
      </c>
    </row>
    <row r="119" spans="1:4" x14ac:dyDescent="0.2">
      <c r="A119" s="1">
        <v>45695</v>
      </c>
      <c r="B119" s="2">
        <v>227.63</v>
      </c>
      <c r="C119" s="8">
        <f t="shared" si="6"/>
        <v>-2.396878483835007E-2</v>
      </c>
      <c r="D119" s="8">
        <f t="shared" si="7"/>
        <v>-2.4260710332889599E-2</v>
      </c>
    </row>
    <row r="120" spans="1:4" x14ac:dyDescent="0.2">
      <c r="A120" s="1">
        <v>45698</v>
      </c>
      <c r="B120" s="2">
        <v>227.65</v>
      </c>
      <c r="C120" s="8">
        <f t="shared" si="6"/>
        <v>8.7861881122919789E-5</v>
      </c>
      <c r="D120" s="8">
        <f t="shared" si="7"/>
        <v>8.7858021493861051E-5</v>
      </c>
    </row>
    <row r="121" spans="1:4" x14ac:dyDescent="0.2">
      <c r="A121" s="1">
        <v>45699</v>
      </c>
      <c r="B121" s="2">
        <v>232.62</v>
      </c>
      <c r="C121" s="8">
        <f t="shared" si="6"/>
        <v>2.1831759279595866E-2</v>
      </c>
      <c r="D121" s="8">
        <f t="shared" si="7"/>
        <v>2.1596859130101596E-2</v>
      </c>
    </row>
    <row r="122" spans="1:4" x14ac:dyDescent="0.2">
      <c r="A122" s="1">
        <v>45700</v>
      </c>
      <c r="B122" s="2">
        <v>236.87</v>
      </c>
      <c r="C122" s="8">
        <f t="shared" si="6"/>
        <v>1.8270140142722036E-2</v>
      </c>
      <c r="D122" s="8">
        <f t="shared" si="7"/>
        <v>1.810524652359782E-2</v>
      </c>
    </row>
    <row r="123" spans="1:4" x14ac:dyDescent="0.2">
      <c r="A123" s="1">
        <v>45701</v>
      </c>
      <c r="B123" s="2">
        <v>241.53</v>
      </c>
      <c r="C123" s="8">
        <f t="shared" si="6"/>
        <v>1.9673238485245055E-2</v>
      </c>
      <c r="D123" s="8">
        <f t="shared" si="7"/>
        <v>1.9482221545508639E-2</v>
      </c>
    </row>
    <row r="124" spans="1:4" x14ac:dyDescent="0.2">
      <c r="A124" s="1">
        <v>45702</v>
      </c>
      <c r="B124" s="2">
        <v>244.6</v>
      </c>
      <c r="C124" s="8">
        <f t="shared" si="6"/>
        <v>1.2710636359872452E-2</v>
      </c>
      <c r="D124" s="8">
        <f t="shared" si="7"/>
        <v>1.2630534273072785E-2</v>
      </c>
    </row>
    <row r="125" spans="1:4" x14ac:dyDescent="0.2">
      <c r="A125" s="1">
        <v>45706</v>
      </c>
      <c r="B125">
        <v>244.47</v>
      </c>
      <c r="C125" s="8">
        <f t="shared" si="6"/>
        <v>-5.3147996729352193E-4</v>
      </c>
      <c r="D125" s="8">
        <f t="shared" si="7"/>
        <v>-5.3162125283384893E-4</v>
      </c>
    </row>
    <row r="126" spans="1:4" x14ac:dyDescent="0.2">
      <c r="A126" s="1">
        <v>45707</v>
      </c>
      <c r="B126">
        <v>244.87</v>
      </c>
      <c r="C126" s="8">
        <f t="shared" si="6"/>
        <v>1.6361925798666736E-3</v>
      </c>
      <c r="D126" s="8">
        <f t="shared" si="7"/>
        <v>1.6348554750960618E-3</v>
      </c>
    </row>
    <row r="127" spans="1:4" x14ac:dyDescent="0.2">
      <c r="A127" s="1">
        <v>45708</v>
      </c>
      <c r="B127">
        <v>245.83</v>
      </c>
      <c r="C127" s="8">
        <f t="shared" si="6"/>
        <v>3.9204475844325888E-3</v>
      </c>
      <c r="D127" s="8">
        <f t="shared" si="7"/>
        <v>3.9127826565687213E-3</v>
      </c>
    </row>
    <row r="128" spans="1:4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1063C-CBEE-C14C-A60D-32F2DF88B7A1}">
  <sheetPr codeName="Sheet3"/>
  <dimension ref="A1:I127"/>
  <sheetViews>
    <sheetView workbookViewId="0">
      <selection activeCell="I29" sqref="I29"/>
    </sheetView>
  </sheetViews>
  <sheetFormatPr baseColWidth="10" defaultRowHeight="16" x14ac:dyDescent="0.2"/>
  <cols>
    <col min="1" max="1" width="13.83203125" customWidth="1"/>
    <col min="2" max="2" width="14.5" customWidth="1"/>
    <col min="6" max="6" width="22.6640625" customWidth="1"/>
    <col min="8" max="9" width="12.33203125" bestFit="1" customWidth="1"/>
  </cols>
  <sheetData>
    <row r="1" spans="1:9" x14ac:dyDescent="0.2">
      <c r="A1" t="s">
        <v>0</v>
      </c>
      <c r="B1" t="s">
        <v>1</v>
      </c>
      <c r="C1" t="s">
        <v>11</v>
      </c>
      <c r="D1" t="s">
        <v>13</v>
      </c>
      <c r="F1" s="5"/>
      <c r="G1" s="5"/>
      <c r="H1" t="s">
        <v>11</v>
      </c>
      <c r="I1" t="s">
        <v>12</v>
      </c>
    </row>
    <row r="2" spans="1:9" x14ac:dyDescent="0.2">
      <c r="A2" s="1">
        <v>45524</v>
      </c>
      <c r="B2" s="2">
        <v>127.25</v>
      </c>
      <c r="C2" s="8"/>
      <c r="D2" s="8"/>
      <c r="F2" t="s">
        <v>2</v>
      </c>
      <c r="G2">
        <v>132.31841269841269</v>
      </c>
      <c r="H2" s="8">
        <f>AVERAGE(C3:C127)</f>
        <v>1.30946929202552E-3</v>
      </c>
      <c r="I2" s="11">
        <f>AVERAGE(D3:D127)</f>
        <v>7.7019338362007577E-4</v>
      </c>
    </row>
    <row r="3" spans="1:9" x14ac:dyDescent="0.2">
      <c r="A3" s="1">
        <v>45525</v>
      </c>
      <c r="B3" s="2">
        <v>128.5</v>
      </c>
      <c r="C3" s="8">
        <f t="shared" ref="C3:C34" si="0">(B3-B2)/B2</f>
        <v>9.823182711198428E-3</v>
      </c>
      <c r="D3" s="8">
        <f t="shared" ref="D3:D34" si="1">LN(B3/B2)</f>
        <v>9.7752489046424654E-3</v>
      </c>
      <c r="F3" t="s">
        <v>3</v>
      </c>
      <c r="G3">
        <v>134.94</v>
      </c>
      <c r="H3" s="11">
        <f>MEDIAN(C3:C127)</f>
        <v>3.5033939128532093E-3</v>
      </c>
      <c r="I3" s="11">
        <f>MEDIAN(D3:D127)</f>
        <v>3.4972713241252736E-3</v>
      </c>
    </row>
    <row r="4" spans="1:9" x14ac:dyDescent="0.2">
      <c r="A4" s="1">
        <v>45526</v>
      </c>
      <c r="B4" s="2">
        <v>123.74</v>
      </c>
      <c r="C4" s="8">
        <f t="shared" si="0"/>
        <v>-3.7042801556420271E-2</v>
      </c>
      <c r="D4" s="8">
        <f t="shared" si="1"/>
        <v>-3.7746314232431778E-2</v>
      </c>
      <c r="F4" t="s">
        <v>4</v>
      </c>
      <c r="G4">
        <v>10.812419038324286</v>
      </c>
      <c r="H4" s="11">
        <f>_xlfn.STDEV.S(C3:C127)</f>
        <v>3.2508053388246964E-2</v>
      </c>
      <c r="I4" s="11">
        <f>_xlfn.STDEV.S(D3:D127)</f>
        <v>3.3209763555285168E-2</v>
      </c>
    </row>
    <row r="5" spans="1:9" x14ac:dyDescent="0.2">
      <c r="A5" s="1">
        <v>45527</v>
      </c>
      <c r="B5" s="2">
        <v>129.37</v>
      </c>
      <c r="C5" s="8">
        <f t="shared" si="0"/>
        <v>4.5498626151608289E-2</v>
      </c>
      <c r="D5" s="8">
        <f t="shared" si="1"/>
        <v>4.449392582696797E-2</v>
      </c>
      <c r="F5" t="s">
        <v>5</v>
      </c>
      <c r="G5">
        <v>116.90840546031747</v>
      </c>
      <c r="H5" s="11">
        <f>_xlfn.VAR.S(C3:C127)</f>
        <v>1.056773535093115E-3</v>
      </c>
      <c r="I5" s="11">
        <f>_xlfn.VAR.S(D3:D127)</f>
        <v>1.1028883953979468E-3</v>
      </c>
    </row>
    <row r="6" spans="1:9" x14ac:dyDescent="0.2">
      <c r="A6" s="1">
        <v>45530</v>
      </c>
      <c r="B6" s="2">
        <v>126.46</v>
      </c>
      <c r="C6" s="8">
        <f t="shared" si="0"/>
        <v>-2.249362294194953E-2</v>
      </c>
      <c r="D6" s="8">
        <f t="shared" si="1"/>
        <v>-2.2750463299343521E-2</v>
      </c>
      <c r="F6" t="s">
        <v>6</v>
      </c>
      <c r="G6">
        <v>-0.24499982139267429</v>
      </c>
      <c r="H6" s="11">
        <f>KURT(C3:C127)</f>
        <v>5.7618951612388791</v>
      </c>
      <c r="I6" s="11">
        <f>KURT(D3:D127)</f>
        <v>7.589325524458145</v>
      </c>
    </row>
    <row r="7" spans="1:9" x14ac:dyDescent="0.2">
      <c r="A7" s="1">
        <v>45531</v>
      </c>
      <c r="B7" s="2">
        <v>128.30000000000001</v>
      </c>
      <c r="C7" s="8">
        <f t="shared" si="0"/>
        <v>1.4550055353471593E-2</v>
      </c>
      <c r="D7" s="8">
        <f t="shared" si="1"/>
        <v>1.4445218991123788E-2</v>
      </c>
      <c r="F7" t="s">
        <v>7</v>
      </c>
      <c r="G7">
        <v>-0.67480399576266592</v>
      </c>
      <c r="H7" s="11">
        <f>SKEW(C3:C127)</f>
        <v>-1.1706709765638739</v>
      </c>
      <c r="I7" s="11">
        <f>SKEW(D3:D127)</f>
        <v>-1.5043754072966782</v>
      </c>
    </row>
    <row r="8" spans="1:9" x14ac:dyDescent="0.2">
      <c r="A8" s="1">
        <v>45532</v>
      </c>
      <c r="B8" s="2">
        <v>125.61</v>
      </c>
      <c r="C8" s="8">
        <f t="shared" si="0"/>
        <v>-2.096648480124717E-2</v>
      </c>
      <c r="D8" s="8">
        <f t="shared" si="1"/>
        <v>-2.1189402922429205E-2</v>
      </c>
      <c r="F8" t="s">
        <v>8</v>
      </c>
      <c r="G8">
        <v>102.83</v>
      </c>
      <c r="H8" s="11">
        <f>MIN(C3:C127)</f>
        <v>-0.1696816715748142</v>
      </c>
      <c r="I8" s="11">
        <f>MIN(D3:D127)</f>
        <v>-0.18594612349652748</v>
      </c>
    </row>
    <row r="9" spans="1:9" x14ac:dyDescent="0.2">
      <c r="A9" s="1">
        <v>45533</v>
      </c>
      <c r="B9" s="2">
        <v>117.59</v>
      </c>
      <c r="C9" s="8">
        <f t="shared" si="0"/>
        <v>-6.3848419711806353E-2</v>
      </c>
      <c r="D9" s="8">
        <f t="shared" si="1"/>
        <v>-6.597787086383719E-2</v>
      </c>
      <c r="F9" t="s">
        <v>9</v>
      </c>
      <c r="G9">
        <v>149.43</v>
      </c>
      <c r="H9" s="11">
        <f>MAX(C3:C127)</f>
        <v>8.9258571187299504E-2</v>
      </c>
      <c r="I9" s="11">
        <f>MAX(D3:D127)</f>
        <v>8.5497254873414752E-2</v>
      </c>
    </row>
    <row r="10" spans="1:9" x14ac:dyDescent="0.2">
      <c r="A10" s="1">
        <v>45534</v>
      </c>
      <c r="B10" s="2">
        <v>119.37</v>
      </c>
      <c r="C10" s="8">
        <f t="shared" si="0"/>
        <v>1.513734161068119E-2</v>
      </c>
      <c r="D10" s="8">
        <f t="shared" si="1"/>
        <v>1.5023915271622633E-2</v>
      </c>
    </row>
    <row r="11" spans="1:9" x14ac:dyDescent="0.2">
      <c r="A11" s="1">
        <v>45538</v>
      </c>
      <c r="B11" s="2">
        <v>108</v>
      </c>
      <c r="C11" s="8">
        <f t="shared" si="0"/>
        <v>-9.5250062829856777E-2</v>
      </c>
      <c r="D11" s="8">
        <f t="shared" si="1"/>
        <v>-0.10009668598272735</v>
      </c>
      <c r="G11" t="s">
        <v>14</v>
      </c>
    </row>
    <row r="12" spans="1:9" x14ac:dyDescent="0.2">
      <c r="A12" s="1">
        <v>45539</v>
      </c>
      <c r="B12" s="2">
        <v>106.21</v>
      </c>
      <c r="C12" s="8">
        <f t="shared" si="0"/>
        <v>-1.6574074074074133E-2</v>
      </c>
      <c r="D12" s="8">
        <f t="shared" si="1"/>
        <v>-1.6712960790771555E-2</v>
      </c>
      <c r="F12" t="s">
        <v>15</v>
      </c>
      <c r="G12">
        <f>H2*127</f>
        <v>0.16630260008724104</v>
      </c>
    </row>
    <row r="13" spans="1:9" x14ac:dyDescent="0.2">
      <c r="A13" s="1">
        <v>45540</v>
      </c>
      <c r="B13" s="2">
        <v>107.21</v>
      </c>
      <c r="C13" s="8">
        <f t="shared" si="0"/>
        <v>9.4153092929102726E-3</v>
      </c>
      <c r="D13" s="8">
        <f t="shared" si="1"/>
        <v>9.371261534700203E-3</v>
      </c>
      <c r="F13" t="s">
        <v>16</v>
      </c>
      <c r="G13">
        <f>(B127/B2)*(127/126)-1</f>
        <v>0.10979948233386372</v>
      </c>
    </row>
    <row r="14" spans="1:9" x14ac:dyDescent="0.2">
      <c r="A14" s="1">
        <v>45541</v>
      </c>
      <c r="B14" s="2">
        <v>102.83</v>
      </c>
      <c r="C14" s="8">
        <f t="shared" si="0"/>
        <v>-4.0854397910642624E-2</v>
      </c>
      <c r="D14" s="8">
        <f t="shared" si="1"/>
        <v>-4.1712388627049075E-2</v>
      </c>
      <c r="F14" t="s">
        <v>17</v>
      </c>
      <c r="G14" s="12" cm="1">
        <f t="array" ref="G14">annualizedVolatility(B2:B127)</f>
        <v>0.37425502831029439</v>
      </c>
    </row>
    <row r="15" spans="1:9" x14ac:dyDescent="0.2">
      <c r="A15" s="1">
        <v>45544</v>
      </c>
      <c r="B15" s="2">
        <v>106.47</v>
      </c>
      <c r="C15" s="8">
        <f t="shared" si="0"/>
        <v>3.5398230088495582E-2</v>
      </c>
      <c r="D15" s="8">
        <f t="shared" si="1"/>
        <v>3.4786116085415604E-2</v>
      </c>
    </row>
    <row r="16" spans="1:9" x14ac:dyDescent="0.2">
      <c r="A16" s="1">
        <v>45545</v>
      </c>
      <c r="B16" s="2">
        <v>108.1</v>
      </c>
      <c r="C16" s="8">
        <f t="shared" si="0"/>
        <v>1.5309476847938343E-2</v>
      </c>
      <c r="D16" s="8">
        <f t="shared" si="1"/>
        <v>1.5193469318647681E-2</v>
      </c>
    </row>
    <row r="17" spans="1:4" x14ac:dyDescent="0.2">
      <c r="A17" s="1">
        <v>45546</v>
      </c>
      <c r="B17" s="2">
        <v>116.91</v>
      </c>
      <c r="C17" s="8">
        <f t="shared" si="0"/>
        <v>8.1498612395929718E-2</v>
      </c>
      <c r="D17" s="8">
        <f t="shared" si="1"/>
        <v>7.8347683373565069E-2</v>
      </c>
    </row>
    <row r="18" spans="1:4" x14ac:dyDescent="0.2">
      <c r="A18" s="1">
        <v>45547</v>
      </c>
      <c r="B18" s="2">
        <v>119.14</v>
      </c>
      <c r="C18" s="8">
        <f t="shared" si="0"/>
        <v>1.9074501753485622E-2</v>
      </c>
      <c r="D18" s="8">
        <f t="shared" si="1"/>
        <v>1.8894864181813922E-2</v>
      </c>
    </row>
    <row r="19" spans="1:4" x14ac:dyDescent="0.2">
      <c r="A19" s="1">
        <v>45548</v>
      </c>
      <c r="B19" s="2">
        <v>119.1</v>
      </c>
      <c r="C19" s="8">
        <f t="shared" si="0"/>
        <v>-3.3573946617430125E-4</v>
      </c>
      <c r="D19" s="8">
        <f t="shared" si="1"/>
        <v>-3.3579583928697982E-4</v>
      </c>
    </row>
    <row r="20" spans="1:4" x14ac:dyDescent="0.2">
      <c r="A20" s="1">
        <v>45551</v>
      </c>
      <c r="B20" s="2">
        <v>116.78</v>
      </c>
      <c r="C20" s="8">
        <f t="shared" si="0"/>
        <v>-1.9479429051217408E-2</v>
      </c>
      <c r="D20" s="8">
        <f t="shared" si="1"/>
        <v>-1.9671653505862762E-2</v>
      </c>
    </row>
    <row r="21" spans="1:4" x14ac:dyDescent="0.2">
      <c r="A21" s="1">
        <v>45552</v>
      </c>
      <c r="B21" s="2">
        <v>115.59</v>
      </c>
      <c r="C21" s="8">
        <f t="shared" si="0"/>
        <v>-1.0190101044699416E-2</v>
      </c>
      <c r="D21" s="8">
        <f t="shared" si="1"/>
        <v>-1.0242375549215622E-2</v>
      </c>
    </row>
    <row r="22" spans="1:4" x14ac:dyDescent="0.2">
      <c r="A22" s="1">
        <v>45553</v>
      </c>
      <c r="B22" s="2">
        <v>113.37</v>
      </c>
      <c r="C22" s="8">
        <f t="shared" si="0"/>
        <v>-1.9205813651699963E-2</v>
      </c>
      <c r="D22" s="8">
        <f t="shared" si="1"/>
        <v>-1.9392641276668576E-2</v>
      </c>
    </row>
    <row r="23" spans="1:4" x14ac:dyDescent="0.2">
      <c r="A23" s="1">
        <v>45554</v>
      </c>
      <c r="B23" s="2">
        <v>117.87</v>
      </c>
      <c r="C23" s="8">
        <f t="shared" si="0"/>
        <v>3.9693040486901296E-2</v>
      </c>
      <c r="D23" s="8">
        <f t="shared" si="1"/>
        <v>3.8925516208970862E-2</v>
      </c>
    </row>
    <row r="24" spans="1:4" x14ac:dyDescent="0.2">
      <c r="A24" s="1">
        <v>45555</v>
      </c>
      <c r="B24" s="2">
        <v>116</v>
      </c>
      <c r="C24" s="8">
        <f t="shared" si="0"/>
        <v>-1.5864935946381643E-2</v>
      </c>
      <c r="D24" s="8">
        <f t="shared" si="1"/>
        <v>-1.5992131132113445E-2</v>
      </c>
    </row>
    <row r="25" spans="1:4" x14ac:dyDescent="0.2">
      <c r="A25" s="1">
        <v>45558</v>
      </c>
      <c r="B25" s="2">
        <v>116.26</v>
      </c>
      <c r="C25" s="8">
        <f t="shared" si="0"/>
        <v>2.2413793103448717E-3</v>
      </c>
      <c r="D25" s="8">
        <f t="shared" si="1"/>
        <v>2.2388711668398825E-3</v>
      </c>
    </row>
    <row r="26" spans="1:4" x14ac:dyDescent="0.2">
      <c r="A26" s="1">
        <v>45559</v>
      </c>
      <c r="B26" s="2">
        <v>120.87</v>
      </c>
      <c r="C26" s="8">
        <f t="shared" si="0"/>
        <v>3.9652503010493716E-2</v>
      </c>
      <c r="D26" s="8">
        <f t="shared" si="1"/>
        <v>3.8886525598161081E-2</v>
      </c>
    </row>
    <row r="27" spans="1:4" x14ac:dyDescent="0.2">
      <c r="A27" s="1">
        <v>45560</v>
      </c>
      <c r="B27" s="2">
        <v>123.51</v>
      </c>
      <c r="C27" s="8">
        <f t="shared" si="0"/>
        <v>2.1841648051625716E-2</v>
      </c>
      <c r="D27" s="8">
        <f t="shared" si="1"/>
        <v>2.1606536578557402E-2</v>
      </c>
    </row>
    <row r="28" spans="1:4" x14ac:dyDescent="0.2">
      <c r="A28" s="1">
        <v>45561</v>
      </c>
      <c r="B28" s="2">
        <v>124.04</v>
      </c>
      <c r="C28" s="8">
        <f t="shared" si="0"/>
        <v>4.29115051412842E-3</v>
      </c>
      <c r="D28" s="8">
        <f t="shared" si="1"/>
        <v>4.2819697823250902E-3</v>
      </c>
    </row>
    <row r="29" spans="1:4" x14ac:dyDescent="0.2">
      <c r="A29" s="1">
        <v>45562</v>
      </c>
      <c r="B29" s="2">
        <v>121.4</v>
      </c>
      <c r="C29" s="8">
        <f t="shared" si="0"/>
        <v>-2.1283456949371175E-2</v>
      </c>
      <c r="D29" s="8">
        <f t="shared" si="1"/>
        <v>-2.1513215606850308E-2</v>
      </c>
    </row>
    <row r="30" spans="1:4" x14ac:dyDescent="0.2">
      <c r="A30" s="1">
        <v>45565</v>
      </c>
      <c r="B30" s="2">
        <v>121.44</v>
      </c>
      <c r="C30" s="8">
        <f t="shared" si="0"/>
        <v>3.2948929159795751E-4</v>
      </c>
      <c r="D30" s="8">
        <f t="shared" si="1"/>
        <v>3.2943502192181391E-4</v>
      </c>
    </row>
    <row r="31" spans="1:4" x14ac:dyDescent="0.2">
      <c r="A31" s="1">
        <v>45566</v>
      </c>
      <c r="B31" s="2">
        <v>117</v>
      </c>
      <c r="C31" s="8">
        <f t="shared" si="0"/>
        <v>-3.6561264822134371E-2</v>
      </c>
      <c r="D31" s="8">
        <f t="shared" si="1"/>
        <v>-3.7246378849563687E-2</v>
      </c>
    </row>
    <row r="32" spans="1:4" x14ac:dyDescent="0.2">
      <c r="A32" s="1">
        <v>45567</v>
      </c>
      <c r="B32" s="2">
        <v>118.85</v>
      </c>
      <c r="C32" s="8">
        <f t="shared" si="0"/>
        <v>1.5811965811965763E-2</v>
      </c>
      <c r="D32" s="8">
        <f t="shared" si="1"/>
        <v>1.5688259008446757E-2</v>
      </c>
    </row>
    <row r="33" spans="1:4" x14ac:dyDescent="0.2">
      <c r="A33" s="1">
        <v>45568</v>
      </c>
      <c r="B33" s="2">
        <v>122.85</v>
      </c>
      <c r="C33" s="8">
        <f t="shared" si="0"/>
        <v>3.3655868742111905E-2</v>
      </c>
      <c r="D33" s="8">
        <f t="shared" si="1"/>
        <v>3.3101905160985295E-2</v>
      </c>
    </row>
    <row r="34" spans="1:4" x14ac:dyDescent="0.2">
      <c r="A34" s="1">
        <v>45569</v>
      </c>
      <c r="B34" s="2">
        <v>124.92</v>
      </c>
      <c r="C34" s="8">
        <f t="shared" si="0"/>
        <v>1.6849816849816911E-2</v>
      </c>
      <c r="D34" s="8">
        <f t="shared" si="1"/>
        <v>1.6709433447689864E-2</v>
      </c>
    </row>
    <row r="35" spans="1:4" x14ac:dyDescent="0.2">
      <c r="A35" s="1">
        <v>45572</v>
      </c>
      <c r="B35" s="2">
        <v>127.72</v>
      </c>
      <c r="C35" s="8">
        <f t="shared" ref="C35:C66" si="2">(B35-B34)/B34</f>
        <v>2.2414345180915764E-2</v>
      </c>
      <c r="D35" s="8">
        <f t="shared" ref="D35:D66" si="3">LN(B35/B34)</f>
        <v>2.216683543170344E-2</v>
      </c>
    </row>
    <row r="36" spans="1:4" x14ac:dyDescent="0.2">
      <c r="A36" s="1">
        <v>45573</v>
      </c>
      <c r="B36" s="2">
        <v>132.88999999999999</v>
      </c>
      <c r="C36" s="8">
        <f t="shared" si="2"/>
        <v>4.0479173191355994E-2</v>
      </c>
      <c r="D36" s="8">
        <f t="shared" si="3"/>
        <v>3.9681350496835091E-2</v>
      </c>
    </row>
    <row r="37" spans="1:4" x14ac:dyDescent="0.2">
      <c r="A37" s="1">
        <v>45574</v>
      </c>
      <c r="B37" s="2">
        <v>132.65</v>
      </c>
      <c r="C37" s="8">
        <f t="shared" si="2"/>
        <v>-1.8060049665135126E-3</v>
      </c>
      <c r="D37" s="8">
        <f t="shared" si="3"/>
        <v>-1.8076377596675597E-3</v>
      </c>
    </row>
    <row r="38" spans="1:4" x14ac:dyDescent="0.2">
      <c r="A38" s="1">
        <v>45575</v>
      </c>
      <c r="B38" s="2">
        <v>134.81</v>
      </c>
      <c r="C38" s="8">
        <f t="shared" si="2"/>
        <v>1.6283452695062168E-2</v>
      </c>
      <c r="D38" s="8">
        <f t="shared" si="3"/>
        <v>1.6152299119223994E-2</v>
      </c>
    </row>
    <row r="39" spans="1:4" x14ac:dyDescent="0.2">
      <c r="A39" s="1">
        <v>45576</v>
      </c>
      <c r="B39" s="2">
        <v>134.80000000000001</v>
      </c>
      <c r="C39" s="8">
        <f t="shared" si="2"/>
        <v>-7.4178473406949811E-5</v>
      </c>
      <c r="D39" s="8">
        <f t="shared" si="3"/>
        <v>-7.4181224765981015E-5</v>
      </c>
    </row>
    <row r="40" spans="1:4" x14ac:dyDescent="0.2">
      <c r="A40" s="1">
        <v>45579</v>
      </c>
      <c r="B40" s="2">
        <v>138.07</v>
      </c>
      <c r="C40" s="8">
        <f t="shared" si="2"/>
        <v>2.4258160237388585E-2</v>
      </c>
      <c r="D40" s="8">
        <f t="shared" si="3"/>
        <v>2.3968604449854193E-2</v>
      </c>
    </row>
    <row r="41" spans="1:4" x14ac:dyDescent="0.2">
      <c r="A41" s="1">
        <v>45580</v>
      </c>
      <c r="B41" s="2">
        <v>131.6</v>
      </c>
      <c r="C41" s="8">
        <f t="shared" si="2"/>
        <v>-4.686028825957847E-2</v>
      </c>
      <c r="D41" s="8">
        <f t="shared" si="3"/>
        <v>-4.799378403684413E-2</v>
      </c>
    </row>
    <row r="42" spans="1:4" x14ac:dyDescent="0.2">
      <c r="A42" s="1">
        <v>45581</v>
      </c>
      <c r="B42" s="2">
        <v>135.72</v>
      </c>
      <c r="C42" s="8">
        <f t="shared" si="2"/>
        <v>3.1306990881459003E-2</v>
      </c>
      <c r="D42" s="8">
        <f t="shared" si="3"/>
        <v>3.0826921024812545E-2</v>
      </c>
    </row>
    <row r="43" spans="1:4" x14ac:dyDescent="0.2">
      <c r="A43" s="1">
        <v>45582</v>
      </c>
      <c r="B43" s="2">
        <v>136.93</v>
      </c>
      <c r="C43" s="8">
        <f t="shared" si="2"/>
        <v>8.9154140878279393E-3</v>
      </c>
      <c r="D43" s="8">
        <f t="shared" si="3"/>
        <v>8.8759064281130479E-3</v>
      </c>
    </row>
    <row r="44" spans="1:4" x14ac:dyDescent="0.2">
      <c r="A44" s="1">
        <v>45583</v>
      </c>
      <c r="B44" s="2">
        <v>138</v>
      </c>
      <c r="C44" s="8">
        <f t="shared" si="2"/>
        <v>7.8142116409843938E-3</v>
      </c>
      <c r="D44" s="8">
        <f t="shared" si="3"/>
        <v>7.7838388130624554E-3</v>
      </c>
    </row>
    <row r="45" spans="1:4" x14ac:dyDescent="0.2">
      <c r="A45" s="1">
        <v>45586</v>
      </c>
      <c r="B45" s="2">
        <v>143.71</v>
      </c>
      <c r="C45" s="8">
        <f t="shared" si="2"/>
        <v>4.1376811594202957E-2</v>
      </c>
      <c r="D45" s="8">
        <f t="shared" si="3"/>
        <v>4.0543694928950949E-2</v>
      </c>
    </row>
    <row r="46" spans="1:4" x14ac:dyDescent="0.2">
      <c r="A46" s="1">
        <v>45587</v>
      </c>
      <c r="B46" s="2">
        <v>143.59</v>
      </c>
      <c r="C46" s="8">
        <f t="shared" si="2"/>
        <v>-8.3501496068474391E-4</v>
      </c>
      <c r="D46" s="8">
        <f t="shared" si="3"/>
        <v>-8.3536377987001502E-4</v>
      </c>
    </row>
    <row r="47" spans="1:4" x14ac:dyDescent="0.2">
      <c r="A47" s="1">
        <v>45588</v>
      </c>
      <c r="B47" s="2">
        <v>139.56</v>
      </c>
      <c r="C47" s="8">
        <f t="shared" si="2"/>
        <v>-2.8066021310676238E-2</v>
      </c>
      <c r="D47" s="8">
        <f t="shared" si="3"/>
        <v>-2.8467399987712163E-2</v>
      </c>
    </row>
    <row r="48" spans="1:4" x14ac:dyDescent="0.2">
      <c r="A48" s="1">
        <v>45589</v>
      </c>
      <c r="B48" s="2">
        <v>140.41</v>
      </c>
      <c r="C48" s="8">
        <f t="shared" si="2"/>
        <v>6.0905703640011053E-3</v>
      </c>
      <c r="D48" s="8">
        <f t="shared" si="3"/>
        <v>6.0720978079774222E-3</v>
      </c>
    </row>
    <row r="49" spans="1:4" x14ac:dyDescent="0.2">
      <c r="A49" s="1">
        <v>45590</v>
      </c>
      <c r="B49" s="2">
        <v>141.54</v>
      </c>
      <c r="C49" s="8">
        <f t="shared" si="2"/>
        <v>8.0478598390427702E-3</v>
      </c>
      <c r="D49" s="8">
        <f t="shared" si="3"/>
        <v>8.0156485210877634E-3</v>
      </c>
    </row>
    <row r="50" spans="1:4" x14ac:dyDescent="0.2">
      <c r="A50" s="1">
        <v>45593</v>
      </c>
      <c r="B50" s="2">
        <v>140.52000000000001</v>
      </c>
      <c r="C50" s="8">
        <f t="shared" si="2"/>
        <v>-7.2064434082236952E-3</v>
      </c>
      <c r="D50" s="8">
        <f t="shared" si="3"/>
        <v>-7.2325352500122939E-3</v>
      </c>
    </row>
    <row r="51" spans="1:4" x14ac:dyDescent="0.2">
      <c r="A51" s="1">
        <v>45594</v>
      </c>
      <c r="B51" s="2">
        <v>141.25</v>
      </c>
      <c r="C51" s="8">
        <f t="shared" si="2"/>
        <v>5.1949900370053355E-3</v>
      </c>
      <c r="D51" s="8">
        <f t="shared" si="3"/>
        <v>5.1815426289240412E-3</v>
      </c>
    </row>
    <row r="52" spans="1:4" x14ac:dyDescent="0.2">
      <c r="A52" s="1">
        <v>45595</v>
      </c>
      <c r="B52" s="2">
        <v>139.34</v>
      </c>
      <c r="C52" s="8">
        <f t="shared" si="2"/>
        <v>-1.3522123893805285E-2</v>
      </c>
      <c r="D52" s="8">
        <f t="shared" si="3"/>
        <v>-1.3614380424577415E-2</v>
      </c>
    </row>
    <row r="53" spans="1:4" x14ac:dyDescent="0.2">
      <c r="A53" s="1">
        <v>45596</v>
      </c>
      <c r="B53" s="2">
        <v>132.76</v>
      </c>
      <c r="C53" s="8">
        <f t="shared" si="2"/>
        <v>-4.7222620927228454E-2</v>
      </c>
      <c r="D53" s="8">
        <f t="shared" si="3"/>
        <v>-4.837400275019902E-2</v>
      </c>
    </row>
    <row r="54" spans="1:4" x14ac:dyDescent="0.2">
      <c r="A54" s="1">
        <v>45597</v>
      </c>
      <c r="B54" s="2">
        <v>135.4</v>
      </c>
      <c r="C54" s="8">
        <f t="shared" si="2"/>
        <v>1.9885507683037172E-2</v>
      </c>
      <c r="D54" s="8">
        <f t="shared" si="3"/>
        <v>1.9690373626400793E-2</v>
      </c>
    </row>
    <row r="55" spans="1:4" x14ac:dyDescent="0.2">
      <c r="A55" s="1">
        <v>45600</v>
      </c>
      <c r="B55" s="2">
        <v>136.05000000000001</v>
      </c>
      <c r="C55" s="8">
        <f t="shared" si="2"/>
        <v>4.8005908419498202E-3</v>
      </c>
      <c r="D55" s="8">
        <f t="shared" si="3"/>
        <v>4.7891047510806297E-3</v>
      </c>
    </row>
    <row r="56" spans="1:4" x14ac:dyDescent="0.2">
      <c r="A56" s="1">
        <v>45601</v>
      </c>
      <c r="B56" s="2">
        <v>139.91</v>
      </c>
      <c r="C56" s="8">
        <f t="shared" si="2"/>
        <v>2.8371922087467732E-2</v>
      </c>
      <c r="D56" s="8">
        <f t="shared" si="3"/>
        <v>2.7976893515939023E-2</v>
      </c>
    </row>
    <row r="57" spans="1:4" x14ac:dyDescent="0.2">
      <c r="A57" s="1">
        <v>45602</v>
      </c>
      <c r="B57" s="2">
        <v>145.61000000000001</v>
      </c>
      <c r="C57" s="8">
        <f t="shared" si="2"/>
        <v>4.0740476020298885E-2</v>
      </c>
      <c r="D57" s="8">
        <f t="shared" si="3"/>
        <v>3.993245597761879E-2</v>
      </c>
    </row>
    <row r="58" spans="1:4" x14ac:dyDescent="0.2">
      <c r="A58" s="1">
        <v>45603</v>
      </c>
      <c r="B58" s="2">
        <v>148.88</v>
      </c>
      <c r="C58" s="8">
        <f t="shared" si="2"/>
        <v>2.2457248815328491E-2</v>
      </c>
      <c r="D58" s="8">
        <f t="shared" si="3"/>
        <v>2.2208797611182083E-2</v>
      </c>
    </row>
    <row r="59" spans="1:4" x14ac:dyDescent="0.2">
      <c r="A59" s="1">
        <v>45604</v>
      </c>
      <c r="B59" s="2">
        <v>147.63</v>
      </c>
      <c r="C59" s="8">
        <f t="shared" si="2"/>
        <v>-8.3960236432025787E-3</v>
      </c>
      <c r="D59" s="8">
        <f t="shared" si="3"/>
        <v>-8.4314687879987818E-3</v>
      </c>
    </row>
    <row r="60" spans="1:4" x14ac:dyDescent="0.2">
      <c r="A60" s="1">
        <v>45607</v>
      </c>
      <c r="B60" s="2">
        <v>145.26</v>
      </c>
      <c r="C60" s="8">
        <f t="shared" si="2"/>
        <v>-1.6053647632595033E-2</v>
      </c>
      <c r="D60" s="8">
        <f t="shared" si="3"/>
        <v>-1.618390336797439E-2</v>
      </c>
    </row>
    <row r="61" spans="1:4" x14ac:dyDescent="0.2">
      <c r="A61" s="1">
        <v>45608</v>
      </c>
      <c r="B61" s="2">
        <v>148.29</v>
      </c>
      <c r="C61" s="8">
        <f t="shared" si="2"/>
        <v>2.0859149111937224E-2</v>
      </c>
      <c r="D61" s="8">
        <f t="shared" si="3"/>
        <v>2.0644575808955484E-2</v>
      </c>
    </row>
    <row r="62" spans="1:4" x14ac:dyDescent="0.2">
      <c r="A62" s="1">
        <v>45609</v>
      </c>
      <c r="B62" s="2">
        <v>146.27000000000001</v>
      </c>
      <c r="C62" s="8">
        <f t="shared" si="2"/>
        <v>-1.3621956976195171E-2</v>
      </c>
      <c r="D62" s="8">
        <f t="shared" si="3"/>
        <v>-1.3715587087980549E-2</v>
      </c>
    </row>
    <row r="63" spans="1:4" x14ac:dyDescent="0.2">
      <c r="A63" s="1">
        <v>45610</v>
      </c>
      <c r="B63" s="2">
        <v>146.76</v>
      </c>
      <c r="C63" s="8">
        <f t="shared" si="2"/>
        <v>3.349969234976281E-3</v>
      </c>
      <c r="D63" s="8">
        <f t="shared" si="3"/>
        <v>3.3443705880842637E-3</v>
      </c>
    </row>
    <row r="64" spans="1:4" x14ac:dyDescent="0.2">
      <c r="A64" s="1">
        <v>45611</v>
      </c>
      <c r="B64" s="2">
        <v>141.97999999999999</v>
      </c>
      <c r="C64" s="8">
        <f t="shared" si="2"/>
        <v>-3.2570182611065694E-2</v>
      </c>
      <c r="D64" s="8">
        <f t="shared" si="3"/>
        <v>-3.3112396875841478E-2</v>
      </c>
    </row>
    <row r="65" spans="1:4" x14ac:dyDescent="0.2">
      <c r="A65" s="1">
        <v>45614</v>
      </c>
      <c r="B65" s="2">
        <v>140.15</v>
      </c>
      <c r="C65" s="8">
        <f t="shared" si="2"/>
        <v>-1.2889139315396423E-2</v>
      </c>
      <c r="D65" s="8">
        <f t="shared" si="3"/>
        <v>-1.2972925000442384E-2</v>
      </c>
    </row>
    <row r="66" spans="1:4" x14ac:dyDescent="0.2">
      <c r="A66" s="1">
        <v>45615</v>
      </c>
      <c r="B66" s="2">
        <v>147.01</v>
      </c>
      <c r="C66" s="8">
        <f t="shared" si="2"/>
        <v>4.8947556189796536E-2</v>
      </c>
      <c r="D66" s="8">
        <f t="shared" si="3"/>
        <v>4.7787334065077465E-2</v>
      </c>
    </row>
    <row r="67" spans="1:4" x14ac:dyDescent="0.2">
      <c r="A67" s="1">
        <v>45616</v>
      </c>
      <c r="B67" s="2">
        <v>145.88999999999999</v>
      </c>
      <c r="C67" s="8">
        <f t="shared" ref="C67:C98" si="4">(B67-B66)/B66</f>
        <v>-7.618529351744811E-3</v>
      </c>
      <c r="D67" s="8">
        <f t="shared" ref="D67:D98" si="5">LN(B67/B66)</f>
        <v>-7.6476985920707645E-3</v>
      </c>
    </row>
    <row r="68" spans="1:4" x14ac:dyDescent="0.2">
      <c r="A68" s="1">
        <v>45617</v>
      </c>
      <c r="B68" s="2">
        <v>146.66999999999999</v>
      </c>
      <c r="C68" s="8">
        <f t="shared" si="4"/>
        <v>5.346493933785737E-3</v>
      </c>
      <c r="D68" s="8">
        <f t="shared" si="5"/>
        <v>5.3322521748597551E-3</v>
      </c>
    </row>
    <row r="69" spans="1:4" x14ac:dyDescent="0.2">
      <c r="A69" s="1">
        <v>45618</v>
      </c>
      <c r="B69" s="2">
        <v>141.94999999999999</v>
      </c>
      <c r="C69" s="8">
        <f t="shared" si="4"/>
        <v>-3.2181086793481958E-2</v>
      </c>
      <c r="D69" s="8">
        <f t="shared" si="5"/>
        <v>-3.2710282339683691E-2</v>
      </c>
    </row>
    <row r="70" spans="1:4" x14ac:dyDescent="0.2">
      <c r="A70" s="1">
        <v>45621</v>
      </c>
      <c r="B70" s="2">
        <v>136.02000000000001</v>
      </c>
      <c r="C70" s="8">
        <f t="shared" si="4"/>
        <v>-4.1775272983444724E-2</v>
      </c>
      <c r="D70" s="8">
        <f t="shared" si="5"/>
        <v>-4.267294917148743E-2</v>
      </c>
    </row>
    <row r="71" spans="1:4" x14ac:dyDescent="0.2">
      <c r="A71" s="1">
        <v>45622</v>
      </c>
      <c r="B71" s="2">
        <v>136.91999999999999</v>
      </c>
      <c r="C71" s="8">
        <f t="shared" si="4"/>
        <v>6.6166740185265192E-3</v>
      </c>
      <c r="D71" s="8">
        <f t="shared" si="5"/>
        <v>6.594879914491771E-3</v>
      </c>
    </row>
    <row r="72" spans="1:4" x14ac:dyDescent="0.2">
      <c r="A72" s="1">
        <v>45623</v>
      </c>
      <c r="B72" s="2">
        <v>135.34</v>
      </c>
      <c r="C72" s="8">
        <f t="shared" si="4"/>
        <v>-1.1539585159216947E-2</v>
      </c>
      <c r="D72" s="8">
        <f t="shared" si="5"/>
        <v>-1.1606682857905002E-2</v>
      </c>
    </row>
    <row r="73" spans="1:4" x14ac:dyDescent="0.2">
      <c r="A73" s="1">
        <v>45625</v>
      </c>
      <c r="B73" s="2">
        <v>138.25</v>
      </c>
      <c r="C73" s="8">
        <f t="shared" si="4"/>
        <v>2.150140387173043E-2</v>
      </c>
      <c r="D73" s="8">
        <f t="shared" si="5"/>
        <v>2.1273509598364767E-2</v>
      </c>
    </row>
    <row r="74" spans="1:4" x14ac:dyDescent="0.2">
      <c r="A74" s="1">
        <v>45628</v>
      </c>
      <c r="B74" s="2">
        <v>138.63</v>
      </c>
      <c r="C74" s="8">
        <f t="shared" si="4"/>
        <v>2.7486437613019562E-3</v>
      </c>
      <c r="D74" s="8">
        <f t="shared" si="5"/>
        <v>2.7448731478405524E-3</v>
      </c>
    </row>
    <row r="75" spans="1:4" x14ac:dyDescent="0.2">
      <c r="A75" s="1">
        <v>45629</v>
      </c>
      <c r="B75" s="2">
        <v>140.26</v>
      </c>
      <c r="C75" s="8">
        <f t="shared" si="4"/>
        <v>1.1757916756834708E-2</v>
      </c>
      <c r="D75" s="8">
        <f t="shared" si="5"/>
        <v>1.1689329558479629E-2</v>
      </c>
    </row>
    <row r="76" spans="1:4" x14ac:dyDescent="0.2">
      <c r="A76" s="1">
        <v>45630</v>
      </c>
      <c r="B76" s="2">
        <v>145.13999999999999</v>
      </c>
      <c r="C76" s="8">
        <f t="shared" si="4"/>
        <v>3.4792528161984852E-2</v>
      </c>
      <c r="D76" s="8">
        <f t="shared" si="5"/>
        <v>3.4200950741226366E-2</v>
      </c>
    </row>
    <row r="77" spans="1:4" x14ac:dyDescent="0.2">
      <c r="A77" s="1">
        <v>45631</v>
      </c>
      <c r="B77" s="2">
        <v>145.06</v>
      </c>
      <c r="C77" s="8">
        <f t="shared" si="4"/>
        <v>-5.5119195259738251E-4</v>
      </c>
      <c r="D77" s="8">
        <f t="shared" si="5"/>
        <v>-5.5134391472441149E-4</v>
      </c>
    </row>
    <row r="78" spans="1:4" x14ac:dyDescent="0.2">
      <c r="A78" s="1">
        <v>45632</v>
      </c>
      <c r="B78" s="2">
        <v>142.44</v>
      </c>
      <c r="C78" s="8">
        <f t="shared" si="4"/>
        <v>-1.8061491796498033E-2</v>
      </c>
      <c r="D78" s="8">
        <f t="shared" si="5"/>
        <v>-1.8226591525689419E-2</v>
      </c>
    </row>
    <row r="79" spans="1:4" x14ac:dyDescent="0.2">
      <c r="A79" s="1">
        <v>45635</v>
      </c>
      <c r="B79" s="2">
        <v>138.81</v>
      </c>
      <c r="C79" s="8">
        <f t="shared" si="4"/>
        <v>-2.5484414490311677E-2</v>
      </c>
      <c r="D79" s="8">
        <f t="shared" si="5"/>
        <v>-2.5814766822559045E-2</v>
      </c>
    </row>
    <row r="80" spans="1:4" x14ac:dyDescent="0.2">
      <c r="A80" s="1">
        <v>45636</v>
      </c>
      <c r="B80" s="2">
        <v>135.07</v>
      </c>
      <c r="C80" s="8">
        <f t="shared" si="4"/>
        <v>-2.694330379655651E-2</v>
      </c>
      <c r="D80" s="8">
        <f t="shared" si="5"/>
        <v>-2.731292901434523E-2</v>
      </c>
    </row>
    <row r="81" spans="1:4" x14ac:dyDescent="0.2">
      <c r="A81" s="1">
        <v>45637</v>
      </c>
      <c r="B81" s="2">
        <v>139.31</v>
      </c>
      <c r="C81" s="8">
        <f t="shared" si="4"/>
        <v>3.1391130524913075E-2</v>
      </c>
      <c r="D81" s="8">
        <f t="shared" si="5"/>
        <v>3.0908503145460821E-2</v>
      </c>
    </row>
    <row r="82" spans="1:4" x14ac:dyDescent="0.2">
      <c r="A82" s="1">
        <v>45638</v>
      </c>
      <c r="B82" s="2">
        <v>137.34</v>
      </c>
      <c r="C82" s="8">
        <f t="shared" si="4"/>
        <v>-1.4141124111693337E-2</v>
      </c>
      <c r="D82" s="8">
        <f t="shared" si="5"/>
        <v>-1.4242062525603194E-2</v>
      </c>
    </row>
    <row r="83" spans="1:4" x14ac:dyDescent="0.2">
      <c r="A83" s="1">
        <v>45639</v>
      </c>
      <c r="B83" s="2">
        <v>134.25</v>
      </c>
      <c r="C83" s="8">
        <f t="shared" si="4"/>
        <v>-2.2498907820008761E-2</v>
      </c>
      <c r="D83" s="8">
        <f t="shared" si="5"/>
        <v>-2.2755869803556265E-2</v>
      </c>
    </row>
    <row r="84" spans="1:4" x14ac:dyDescent="0.2">
      <c r="A84" s="1">
        <v>45642</v>
      </c>
      <c r="B84" s="2">
        <v>132</v>
      </c>
      <c r="C84" s="8">
        <f t="shared" si="4"/>
        <v>-1.6759776536312849E-2</v>
      </c>
      <c r="D84" s="8">
        <f t="shared" si="5"/>
        <v>-1.6901810802603254E-2</v>
      </c>
    </row>
    <row r="85" spans="1:4" x14ac:dyDescent="0.2">
      <c r="A85" s="1">
        <v>45643</v>
      </c>
      <c r="B85" s="2">
        <v>130.38999999999999</v>
      </c>
      <c r="C85" s="8">
        <f t="shared" si="4"/>
        <v>-1.21969696969698E-2</v>
      </c>
      <c r="D85" s="8">
        <f t="shared" si="5"/>
        <v>-1.2271963150990077E-2</v>
      </c>
    </row>
    <row r="86" spans="1:4" x14ac:dyDescent="0.2">
      <c r="A86" s="1">
        <v>45644</v>
      </c>
      <c r="B86" s="2">
        <v>128.91</v>
      </c>
      <c r="C86" s="8">
        <f t="shared" si="4"/>
        <v>-1.1350563693534703E-2</v>
      </c>
      <c r="D86" s="8">
        <f t="shared" si="5"/>
        <v>-1.1415472980367396E-2</v>
      </c>
    </row>
    <row r="87" spans="1:4" x14ac:dyDescent="0.2">
      <c r="A87" s="1">
        <v>45645</v>
      </c>
      <c r="B87" s="2">
        <v>130.68</v>
      </c>
      <c r="C87" s="8">
        <f t="shared" si="4"/>
        <v>1.373050965790094E-2</v>
      </c>
      <c r="D87" s="8">
        <f t="shared" si="5"/>
        <v>1.3637100277856131E-2</v>
      </c>
    </row>
    <row r="88" spans="1:4" x14ac:dyDescent="0.2">
      <c r="A88" s="1">
        <v>45646</v>
      </c>
      <c r="B88" s="2">
        <v>134.69999999999999</v>
      </c>
      <c r="C88" s="8">
        <f t="shared" si="4"/>
        <v>3.076216712580335E-2</v>
      </c>
      <c r="D88" s="8">
        <f t="shared" si="5"/>
        <v>3.0298496683448778E-2</v>
      </c>
    </row>
    <row r="89" spans="1:4" x14ac:dyDescent="0.2">
      <c r="A89" s="1">
        <v>45649</v>
      </c>
      <c r="B89" s="2">
        <v>139.66999999999999</v>
      </c>
      <c r="C89" s="8">
        <f t="shared" si="4"/>
        <v>3.6896807720861166E-2</v>
      </c>
      <c r="D89" s="8">
        <f t="shared" si="5"/>
        <v>3.6232413901361615E-2</v>
      </c>
    </row>
    <row r="90" spans="1:4" x14ac:dyDescent="0.2">
      <c r="A90" s="1">
        <v>45650</v>
      </c>
      <c r="B90" s="2">
        <v>140.22</v>
      </c>
      <c r="C90" s="8">
        <f t="shared" si="4"/>
        <v>3.9378535118494411E-3</v>
      </c>
      <c r="D90" s="8">
        <f t="shared" si="5"/>
        <v>3.9301204611417624E-3</v>
      </c>
    </row>
    <row r="91" spans="1:4" x14ac:dyDescent="0.2">
      <c r="A91" s="1">
        <v>45652</v>
      </c>
      <c r="B91" s="2">
        <v>139.93</v>
      </c>
      <c r="C91" s="8">
        <f t="shared" si="4"/>
        <v>-2.0681785765225506E-3</v>
      </c>
      <c r="D91" s="8">
        <f t="shared" si="5"/>
        <v>-2.070320211199508E-3</v>
      </c>
    </row>
    <row r="92" spans="1:4" x14ac:dyDescent="0.2">
      <c r="A92" s="1">
        <v>45653</v>
      </c>
      <c r="B92" s="2">
        <v>137.01</v>
      </c>
      <c r="C92" s="8">
        <f t="shared" si="4"/>
        <v>-2.0867576645465704E-2</v>
      </c>
      <c r="D92" s="8">
        <f t="shared" si="5"/>
        <v>-2.1088381702604804E-2</v>
      </c>
    </row>
    <row r="93" spans="1:4" x14ac:dyDescent="0.2">
      <c r="A93" s="1">
        <v>45656</v>
      </c>
      <c r="B93" s="2">
        <v>137.49</v>
      </c>
      <c r="C93" s="8">
        <f t="shared" si="4"/>
        <v>3.5033939128532093E-3</v>
      </c>
      <c r="D93" s="8">
        <f t="shared" si="5"/>
        <v>3.4972713241252736E-3</v>
      </c>
    </row>
    <row r="94" spans="1:4" x14ac:dyDescent="0.2">
      <c r="A94" s="1">
        <v>45657</v>
      </c>
      <c r="B94" s="2">
        <v>134.29</v>
      </c>
      <c r="C94" s="8">
        <f t="shared" si="4"/>
        <v>-2.3274419957815238E-2</v>
      </c>
      <c r="D94" s="8">
        <f t="shared" si="5"/>
        <v>-2.3549546596058561E-2</v>
      </c>
    </row>
    <row r="95" spans="1:4" x14ac:dyDescent="0.2">
      <c r="A95" s="1">
        <v>45659</v>
      </c>
      <c r="B95" s="2">
        <v>138.31</v>
      </c>
      <c r="C95" s="8">
        <f t="shared" si="4"/>
        <v>2.9935214833569219E-2</v>
      </c>
      <c r="D95" s="8">
        <f t="shared" si="5"/>
        <v>2.9495902043532696E-2</v>
      </c>
    </row>
    <row r="96" spans="1:4" x14ac:dyDescent="0.2">
      <c r="A96" s="1">
        <v>45660</v>
      </c>
      <c r="B96" s="2">
        <v>144.47</v>
      </c>
      <c r="C96" s="8">
        <f t="shared" si="4"/>
        <v>4.4537632853734341E-2</v>
      </c>
      <c r="D96" s="8">
        <f t="shared" si="5"/>
        <v>4.3574330904673421E-2</v>
      </c>
    </row>
    <row r="97" spans="1:4" x14ac:dyDescent="0.2">
      <c r="A97" s="1">
        <v>45663</v>
      </c>
      <c r="B97" s="2">
        <v>149.43</v>
      </c>
      <c r="C97" s="8">
        <f t="shared" si="4"/>
        <v>3.4332387346854072E-2</v>
      </c>
      <c r="D97" s="8">
        <f t="shared" si="5"/>
        <v>3.3756182212011883E-2</v>
      </c>
    </row>
    <row r="98" spans="1:4" x14ac:dyDescent="0.2">
      <c r="A98" s="1">
        <v>45664</v>
      </c>
      <c r="B98" s="2">
        <v>140.13999999999999</v>
      </c>
      <c r="C98" s="8">
        <f t="shared" si="4"/>
        <v>-6.2169577728702539E-2</v>
      </c>
      <c r="D98" s="8">
        <f t="shared" si="5"/>
        <v>-6.4186132810914065E-2</v>
      </c>
    </row>
    <row r="99" spans="1:4" x14ac:dyDescent="0.2">
      <c r="A99" s="1">
        <v>45665</v>
      </c>
      <c r="B99" s="2">
        <v>140.11000000000001</v>
      </c>
      <c r="C99" s="8">
        <f t="shared" ref="C99:C127" si="6">(B99-B98)/B98</f>
        <v>-2.1407164264287653E-4</v>
      </c>
      <c r="D99" s="8">
        <f t="shared" ref="D99:D127" si="7">LN(B99/B98)</f>
        <v>-2.140945592475461E-4</v>
      </c>
    </row>
    <row r="100" spans="1:4" x14ac:dyDescent="0.2">
      <c r="A100" s="1">
        <v>45667</v>
      </c>
      <c r="B100" s="2">
        <v>135.91</v>
      </c>
      <c r="C100" s="8">
        <f t="shared" si="6"/>
        <v>-2.997644707729653E-2</v>
      </c>
      <c r="D100" s="8">
        <f t="shared" si="7"/>
        <v>-3.0434926415884248E-2</v>
      </c>
    </row>
    <row r="101" spans="1:4" x14ac:dyDescent="0.2">
      <c r="A101" s="1">
        <v>45670</v>
      </c>
      <c r="B101" s="2">
        <v>133.22999999999999</v>
      </c>
      <c r="C101" s="8">
        <f t="shared" si="6"/>
        <v>-1.9718931645942218E-2</v>
      </c>
      <c r="D101" s="8">
        <f t="shared" si="7"/>
        <v>-1.9915943995135368E-2</v>
      </c>
    </row>
    <row r="102" spans="1:4" x14ac:dyDescent="0.2">
      <c r="A102" s="1">
        <v>45671</v>
      </c>
      <c r="B102" s="2">
        <v>131.76</v>
      </c>
      <c r="C102" s="8">
        <f t="shared" si="6"/>
        <v>-1.1033551002026564E-2</v>
      </c>
      <c r="D102" s="8">
        <f t="shared" si="7"/>
        <v>-1.1094872102735659E-2</v>
      </c>
    </row>
    <row r="103" spans="1:4" x14ac:dyDescent="0.2">
      <c r="A103" s="1">
        <v>45672</v>
      </c>
      <c r="B103" s="2">
        <v>136.24</v>
      </c>
      <c r="C103" s="8">
        <f t="shared" si="6"/>
        <v>3.4001214329083325E-2</v>
      </c>
      <c r="D103" s="8">
        <f t="shared" si="7"/>
        <v>3.3435950485048091E-2</v>
      </c>
    </row>
    <row r="104" spans="1:4" x14ac:dyDescent="0.2">
      <c r="A104" s="1">
        <v>45673</v>
      </c>
      <c r="B104" s="2">
        <v>133.57</v>
      </c>
      <c r="C104" s="8">
        <f t="shared" si="6"/>
        <v>-1.9597768643570285E-2</v>
      </c>
      <c r="D104" s="8">
        <f t="shared" si="7"/>
        <v>-1.9792351365419E-2</v>
      </c>
    </row>
    <row r="105" spans="1:4" x14ac:dyDescent="0.2">
      <c r="A105" s="1">
        <v>45674</v>
      </c>
      <c r="B105" s="2">
        <v>137.71</v>
      </c>
      <c r="C105" s="8">
        <f t="shared" si="6"/>
        <v>3.0994983903571274E-2</v>
      </c>
      <c r="D105" s="8">
        <f t="shared" si="7"/>
        <v>3.0524339750020613E-2</v>
      </c>
    </row>
    <row r="106" spans="1:4" x14ac:dyDescent="0.2">
      <c r="A106" s="1">
        <v>45678</v>
      </c>
      <c r="B106" s="2">
        <v>140.83000000000001</v>
      </c>
      <c r="C106" s="8">
        <f t="shared" si="6"/>
        <v>2.2656306731537321E-2</v>
      </c>
      <c r="D106" s="8">
        <f t="shared" si="7"/>
        <v>2.2403464470924412E-2</v>
      </c>
    </row>
    <row r="107" spans="1:4" x14ac:dyDescent="0.2">
      <c r="A107" s="1">
        <v>45679</v>
      </c>
      <c r="B107" s="2">
        <v>147.07</v>
      </c>
      <c r="C107" s="8">
        <f t="shared" si="6"/>
        <v>4.4308741035290637E-2</v>
      </c>
      <c r="D107" s="8">
        <f t="shared" si="7"/>
        <v>4.3355174702263348E-2</v>
      </c>
    </row>
    <row r="108" spans="1:4" x14ac:dyDescent="0.2">
      <c r="A108" s="1">
        <v>45680</v>
      </c>
      <c r="B108" s="2">
        <v>147.22</v>
      </c>
      <c r="C108" s="8">
        <f t="shared" si="6"/>
        <v>1.0199224858911109E-3</v>
      </c>
      <c r="D108" s="8">
        <f t="shared" si="7"/>
        <v>1.0194027183375537E-3</v>
      </c>
    </row>
    <row r="109" spans="1:4" x14ac:dyDescent="0.2">
      <c r="A109" s="1">
        <v>45681</v>
      </c>
      <c r="B109" s="2">
        <v>142.62</v>
      </c>
      <c r="C109" s="8">
        <f t="shared" si="6"/>
        <v>-3.1245754652900384E-2</v>
      </c>
      <c r="D109" s="8">
        <f t="shared" si="7"/>
        <v>-3.1744316030402252E-2</v>
      </c>
    </row>
    <row r="110" spans="1:4" x14ac:dyDescent="0.2">
      <c r="A110" s="1">
        <v>45684</v>
      </c>
      <c r="B110" s="2">
        <v>118.42</v>
      </c>
      <c r="C110" s="8">
        <f t="shared" si="6"/>
        <v>-0.1696816715748142</v>
      </c>
      <c r="D110" s="8">
        <f t="shared" si="7"/>
        <v>-0.18594612349652748</v>
      </c>
    </row>
    <row r="111" spans="1:4" x14ac:dyDescent="0.2">
      <c r="A111" s="1">
        <v>45685</v>
      </c>
      <c r="B111" s="2">
        <v>128.99</v>
      </c>
      <c r="C111" s="8">
        <f t="shared" si="6"/>
        <v>8.9258571187299504E-2</v>
      </c>
      <c r="D111" s="8">
        <f t="shared" si="7"/>
        <v>8.5497254873414752E-2</v>
      </c>
    </row>
    <row r="112" spans="1:4" x14ac:dyDescent="0.2">
      <c r="A112" s="1">
        <v>45686</v>
      </c>
      <c r="B112" s="2">
        <v>123.7</v>
      </c>
      <c r="C112" s="8">
        <f t="shared" si="6"/>
        <v>-4.1010931079928724E-2</v>
      </c>
      <c r="D112" s="8">
        <f t="shared" si="7"/>
        <v>-4.1875602578602553E-2</v>
      </c>
    </row>
    <row r="113" spans="1:4" x14ac:dyDescent="0.2">
      <c r="A113" s="1">
        <v>45687</v>
      </c>
      <c r="B113" s="2">
        <v>124.65</v>
      </c>
      <c r="C113" s="8">
        <f t="shared" si="6"/>
        <v>7.6798706548100474E-3</v>
      </c>
      <c r="D113" s="8">
        <f t="shared" si="7"/>
        <v>7.6505305711246667E-3</v>
      </c>
    </row>
    <row r="114" spans="1:4" x14ac:dyDescent="0.2">
      <c r="A114" s="1">
        <v>45688</v>
      </c>
      <c r="B114" s="2">
        <v>120.07</v>
      </c>
      <c r="C114" s="8">
        <f t="shared" si="6"/>
        <v>-3.6742880064179799E-2</v>
      </c>
      <c r="D114" s="8">
        <f t="shared" si="7"/>
        <v>-3.743490392694037E-2</v>
      </c>
    </row>
    <row r="115" spans="1:4" x14ac:dyDescent="0.2">
      <c r="A115" s="1">
        <v>45691</v>
      </c>
      <c r="B115" s="2">
        <v>116.66</v>
      </c>
      <c r="C115" s="8">
        <f t="shared" si="6"/>
        <v>-2.8400099941700646E-2</v>
      </c>
      <c r="D115" s="8">
        <f t="shared" si="7"/>
        <v>-2.8811184717135074E-2</v>
      </c>
    </row>
    <row r="116" spans="1:4" x14ac:dyDescent="0.2">
      <c r="A116" s="1">
        <v>45692</v>
      </c>
      <c r="B116" s="2">
        <v>118.65</v>
      </c>
      <c r="C116" s="8">
        <f t="shared" si="6"/>
        <v>1.7058117606720463E-2</v>
      </c>
      <c r="D116" s="8">
        <f t="shared" si="7"/>
        <v>1.6914261556281014E-2</v>
      </c>
    </row>
    <row r="117" spans="1:4" x14ac:dyDescent="0.2">
      <c r="A117" s="1">
        <v>45693</v>
      </c>
      <c r="B117" s="2">
        <v>124.83</v>
      </c>
      <c r="C117" s="8">
        <f t="shared" si="6"/>
        <v>5.208596713021485E-2</v>
      </c>
      <c r="D117" s="8">
        <f t="shared" si="7"/>
        <v>5.0774828781187074E-2</v>
      </c>
    </row>
    <row r="118" spans="1:4" x14ac:dyDescent="0.2">
      <c r="A118" s="1">
        <v>45694</v>
      </c>
      <c r="B118" s="2">
        <v>128.68</v>
      </c>
      <c r="C118" s="8">
        <f t="shared" si="6"/>
        <v>3.0841945045261623E-2</v>
      </c>
      <c r="D118" s="8">
        <f t="shared" si="7"/>
        <v>3.0375890707866154E-2</v>
      </c>
    </row>
    <row r="119" spans="1:4" x14ac:dyDescent="0.2">
      <c r="A119" s="1">
        <v>45695</v>
      </c>
      <c r="B119" s="2">
        <v>129.84</v>
      </c>
      <c r="C119" s="8">
        <f t="shared" si="6"/>
        <v>9.0146098849859854E-3</v>
      </c>
      <c r="D119" s="8">
        <f t="shared" si="7"/>
        <v>8.974220835510088E-3</v>
      </c>
    </row>
    <row r="120" spans="1:4" x14ac:dyDescent="0.2">
      <c r="A120" s="1">
        <v>45698</v>
      </c>
      <c r="B120" s="2">
        <v>133.57</v>
      </c>
      <c r="C120" s="8">
        <f t="shared" si="6"/>
        <v>2.8727664818237752E-2</v>
      </c>
      <c r="D120" s="8">
        <f t="shared" si="7"/>
        <v>2.8322761782678136E-2</v>
      </c>
    </row>
    <row r="121" spans="1:4" x14ac:dyDescent="0.2">
      <c r="A121" s="1">
        <v>45699</v>
      </c>
      <c r="B121" s="2">
        <v>132.80000000000001</v>
      </c>
      <c r="C121" s="8">
        <f t="shared" si="6"/>
        <v>-5.7647675376205874E-3</v>
      </c>
      <c r="D121" s="8">
        <f t="shared" si="7"/>
        <v>-5.7814479466803586E-3</v>
      </c>
    </row>
    <row r="122" spans="1:4" x14ac:dyDescent="0.2">
      <c r="A122" s="1">
        <v>45700</v>
      </c>
      <c r="B122" s="2">
        <v>131.13999999999999</v>
      </c>
      <c r="C122" s="8">
        <f t="shared" si="6"/>
        <v>-1.2500000000000188E-2</v>
      </c>
      <c r="D122" s="8">
        <f t="shared" si="7"/>
        <v>-1.2578782206860298E-2</v>
      </c>
    </row>
    <row r="123" spans="1:4" x14ac:dyDescent="0.2">
      <c r="A123" s="1">
        <v>45701</v>
      </c>
      <c r="B123" s="2">
        <v>135.29</v>
      </c>
      <c r="C123" s="8">
        <f t="shared" si="6"/>
        <v>3.1645569620253208E-2</v>
      </c>
      <c r="D123" s="8">
        <f t="shared" si="7"/>
        <v>3.1155167779795479E-2</v>
      </c>
    </row>
    <row r="124" spans="1:4" x14ac:dyDescent="0.2">
      <c r="A124" s="1">
        <v>45702</v>
      </c>
      <c r="B124" s="2">
        <v>138.85</v>
      </c>
      <c r="C124" s="8">
        <f t="shared" si="6"/>
        <v>2.6313844334392805E-2</v>
      </c>
      <c r="D124" s="8">
        <f t="shared" si="7"/>
        <v>2.5973591137539755E-2</v>
      </c>
    </row>
    <row r="125" spans="1:4" x14ac:dyDescent="0.2">
      <c r="A125" s="1">
        <v>45706</v>
      </c>
      <c r="B125" s="2">
        <v>139.4</v>
      </c>
      <c r="C125" s="8">
        <f t="shared" si="6"/>
        <v>3.9611091105510362E-3</v>
      </c>
      <c r="D125" s="8">
        <f t="shared" si="7"/>
        <v>3.953284573615142E-3</v>
      </c>
    </row>
    <row r="126" spans="1:4" x14ac:dyDescent="0.2">
      <c r="A126" s="1">
        <v>45707</v>
      </c>
      <c r="B126" s="2">
        <v>139.22999999999999</v>
      </c>
      <c r="C126" s="8">
        <f t="shared" si="6"/>
        <v>-1.2195121951220653E-3</v>
      </c>
      <c r="D126" s="8">
        <f t="shared" si="7"/>
        <v>-1.2202564052294857E-3</v>
      </c>
    </row>
    <row r="127" spans="1:4" x14ac:dyDescent="0.2">
      <c r="A127" s="1">
        <v>45708</v>
      </c>
      <c r="B127" s="2">
        <v>140.11000000000001</v>
      </c>
      <c r="C127" s="8">
        <f t="shared" si="6"/>
        <v>6.3204769087123747E-3</v>
      </c>
      <c r="D127" s="8">
        <f t="shared" si="7"/>
        <v>6.3005864619461423E-3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C7D90-5CD2-6F41-9D49-1715D74C8475}">
  <sheetPr codeName="Sheet4"/>
  <dimension ref="A1:O127"/>
  <sheetViews>
    <sheetView tabSelected="1" topLeftCell="G1" zoomScale="89" workbookViewId="0">
      <selection activeCell="I2" sqref="I2:L5"/>
    </sheetView>
  </sheetViews>
  <sheetFormatPr baseColWidth="10" defaultRowHeight="16" x14ac:dyDescent="0.2"/>
  <cols>
    <col min="1" max="1" width="12.1640625" bestFit="1" customWidth="1"/>
    <col min="5" max="7" width="10.83203125" style="8"/>
    <col min="10" max="12" width="12.6640625" bestFit="1" customWidth="1"/>
    <col min="15" max="15" width="24.6640625" bestFit="1" customWidth="1"/>
  </cols>
  <sheetData>
    <row r="1" spans="1:15" ht="17" thickBot="1" x14ac:dyDescent="0.25">
      <c r="A1" t="s">
        <v>19</v>
      </c>
      <c r="B1" t="s">
        <v>18</v>
      </c>
      <c r="C1" t="s">
        <v>20</v>
      </c>
      <c r="E1" s="8" t="s">
        <v>19</v>
      </c>
      <c r="F1" s="14" t="s">
        <v>18</v>
      </c>
      <c r="G1" s="14" t="s">
        <v>20</v>
      </c>
      <c r="H1" s="13"/>
    </row>
    <row r="2" spans="1:15" x14ac:dyDescent="0.2">
      <c r="A2" s="2">
        <v>178.88</v>
      </c>
      <c r="B2" s="2">
        <v>226.51</v>
      </c>
      <c r="C2" s="2">
        <v>127.25</v>
      </c>
      <c r="E2" s="8">
        <f t="shared" ref="E2:E33" si="0">(A3-A2)/A2</f>
        <v>6.8761180679786354E-3</v>
      </c>
      <c r="F2" s="12">
        <f t="shared" ref="F2:F33" si="1">(B3-B2)/B2</f>
        <v>-4.8562977351986769E-4</v>
      </c>
      <c r="G2" s="12">
        <f t="shared" ref="G2:G33" si="2">(C3-C2)/C2</f>
        <v>9.823182711198428E-3</v>
      </c>
      <c r="I2" s="4"/>
      <c r="J2" s="18" t="s">
        <v>19</v>
      </c>
      <c r="K2" s="18" t="s">
        <v>18</v>
      </c>
      <c r="L2" s="18" t="s">
        <v>20</v>
      </c>
      <c r="N2" s="17" t="s">
        <v>19</v>
      </c>
      <c r="O2" s="19">
        <v>1</v>
      </c>
    </row>
    <row r="3" spans="1:15" x14ac:dyDescent="0.2">
      <c r="A3" s="2">
        <v>180.11</v>
      </c>
      <c r="B3" s="2">
        <v>226.4</v>
      </c>
      <c r="C3" s="2">
        <v>128.5</v>
      </c>
      <c r="E3" s="8">
        <f t="shared" si="0"/>
        <v>-2.2097607017933583E-2</v>
      </c>
      <c r="F3" s="12">
        <f t="shared" si="1"/>
        <v>-8.2597173144876527E-3</v>
      </c>
      <c r="G3" s="12">
        <f t="shared" si="2"/>
        <v>-3.7042801556420271E-2</v>
      </c>
      <c r="I3" t="s">
        <v>19</v>
      </c>
      <c r="J3" s="15">
        <f>VARP('Covariance &amp; GMVP'!$E$2:$E$1048576)</f>
        <v>3.0098799414791656E-4</v>
      </c>
      <c r="K3" s="15">
        <v>0</v>
      </c>
      <c r="L3" s="15">
        <v>0</v>
      </c>
      <c r="N3" t="s">
        <v>18</v>
      </c>
      <c r="O3" s="19">
        <v>1</v>
      </c>
    </row>
    <row r="4" spans="1:15" x14ac:dyDescent="0.2">
      <c r="A4" s="2">
        <v>176.13</v>
      </c>
      <c r="B4" s="2">
        <v>224.53</v>
      </c>
      <c r="C4" s="2">
        <v>123.74</v>
      </c>
      <c r="E4" s="8">
        <f t="shared" si="0"/>
        <v>5.1666382785442375E-3</v>
      </c>
      <c r="F4" s="12">
        <f t="shared" si="1"/>
        <v>1.0288157484523237E-2</v>
      </c>
      <c r="G4" s="12">
        <f t="shared" si="2"/>
        <v>4.5498626151608289E-2</v>
      </c>
      <c r="I4" t="s">
        <v>18</v>
      </c>
      <c r="J4" s="15">
        <v>7.982880105776844E-5</v>
      </c>
      <c r="K4" s="15">
        <f>VARP('Covariance &amp; GMVP'!$F$2:$F$1048576)</f>
        <v>1.862309365214976E-4</v>
      </c>
      <c r="L4" s="15">
        <v>0</v>
      </c>
      <c r="N4" t="s">
        <v>20</v>
      </c>
      <c r="O4" s="19">
        <v>1</v>
      </c>
    </row>
    <row r="5" spans="1:15" ht="17" thickBot="1" x14ac:dyDescent="0.25">
      <c r="A5" s="2">
        <v>177.04</v>
      </c>
      <c r="B5" s="2">
        <v>226.84</v>
      </c>
      <c r="C5" s="2">
        <v>129.37</v>
      </c>
      <c r="E5" s="8">
        <f t="shared" si="0"/>
        <v>-8.6985991866244464E-3</v>
      </c>
      <c r="F5" s="12">
        <f t="shared" si="1"/>
        <v>1.4988538176688565E-3</v>
      </c>
      <c r="G5" s="12">
        <f t="shared" si="2"/>
        <v>-2.249362294194953E-2</v>
      </c>
      <c r="I5" s="3" t="s">
        <v>20</v>
      </c>
      <c r="J5" s="16">
        <v>2.0741375170008354E-4</v>
      </c>
      <c r="K5" s="16">
        <v>9.0431518500528119E-5</v>
      </c>
      <c r="L5" s="16">
        <f>VARP('Covariance &amp; GMVP'!$G$2:$G$1048576)</f>
        <v>1.0483193468123703E-3</v>
      </c>
    </row>
    <row r="6" spans="1:15" x14ac:dyDescent="0.2">
      <c r="A6" s="2">
        <v>175.5</v>
      </c>
      <c r="B6" s="2">
        <v>227.18</v>
      </c>
      <c r="C6" s="2">
        <v>126.46</v>
      </c>
      <c r="E6" s="8">
        <f t="shared" si="0"/>
        <v>-1.3561253561253536E-2</v>
      </c>
      <c r="F6" s="12">
        <f t="shared" si="1"/>
        <v>3.7415265428294492E-3</v>
      </c>
      <c r="G6" s="12">
        <f t="shared" si="2"/>
        <v>1.4550055353471593E-2</v>
      </c>
      <c r="N6" cm="1">
        <f t="array" ref="N6">MMULT(MMULT(TRANSPOSE(O2:O4),J3:L5),O2:O4)</f>
        <v>1.9132123487401644E-3</v>
      </c>
    </row>
    <row r="7" spans="1:15" x14ac:dyDescent="0.2">
      <c r="A7" s="2">
        <v>173.12</v>
      </c>
      <c r="B7" s="2">
        <v>228.03</v>
      </c>
      <c r="C7" s="2">
        <v>128.30000000000001</v>
      </c>
      <c r="E7" s="8">
        <f t="shared" si="0"/>
        <v>-1.3401109057301254E-2</v>
      </c>
      <c r="F7" s="12">
        <f t="shared" si="1"/>
        <v>-6.7534973468402933E-3</v>
      </c>
      <c r="G7" s="12">
        <f t="shared" si="2"/>
        <v>-2.096648480124717E-2</v>
      </c>
    </row>
    <row r="8" spans="1:15" x14ac:dyDescent="0.2">
      <c r="A8" s="2">
        <v>170.8</v>
      </c>
      <c r="B8" s="2">
        <v>226.49</v>
      </c>
      <c r="C8" s="2">
        <v>125.61</v>
      </c>
      <c r="E8" s="8">
        <f t="shared" si="0"/>
        <v>7.7283372365339175E-3</v>
      </c>
      <c r="F8" s="12">
        <f t="shared" si="1"/>
        <v>1.4570179698882878E-2</v>
      </c>
      <c r="G8" s="12">
        <f t="shared" si="2"/>
        <v>-6.3848419711806353E-2</v>
      </c>
    </row>
    <row r="9" spans="1:15" x14ac:dyDescent="0.2">
      <c r="A9" s="2">
        <v>172.12</v>
      </c>
      <c r="B9" s="2">
        <v>229.79</v>
      </c>
      <c r="C9" s="2">
        <v>117.59</v>
      </c>
      <c r="E9" s="8">
        <f t="shared" si="0"/>
        <v>3.7067162444805922E-2</v>
      </c>
      <c r="F9" s="12">
        <f t="shared" si="1"/>
        <v>-3.4379215805735329E-3</v>
      </c>
      <c r="G9" s="12">
        <f t="shared" si="2"/>
        <v>1.513734161068119E-2</v>
      </c>
    </row>
    <row r="10" spans="1:15" x14ac:dyDescent="0.2">
      <c r="A10" s="2">
        <v>178.5</v>
      </c>
      <c r="B10" s="2">
        <v>229</v>
      </c>
      <c r="C10" s="2">
        <v>119.37</v>
      </c>
      <c r="E10" s="8">
        <f t="shared" si="0"/>
        <v>-1.2605042016806723E-2</v>
      </c>
      <c r="F10" s="12">
        <f t="shared" si="1"/>
        <v>-2.7205240174672445E-2</v>
      </c>
      <c r="G10" s="12">
        <f t="shared" si="2"/>
        <v>-9.5250062829856777E-2</v>
      </c>
    </row>
    <row r="11" spans="1:15" x14ac:dyDescent="0.2">
      <c r="A11" s="2">
        <v>176.25</v>
      </c>
      <c r="B11" s="2">
        <v>222.77</v>
      </c>
      <c r="C11" s="2">
        <v>108</v>
      </c>
      <c r="E11" s="8">
        <f t="shared" si="0"/>
        <v>-1.6567375886524752E-2</v>
      </c>
      <c r="F11" s="12">
        <f t="shared" si="1"/>
        <v>-8.6187547694932705E-3</v>
      </c>
      <c r="G11" s="12">
        <f t="shared" si="2"/>
        <v>-1.6574074074074133E-2</v>
      </c>
    </row>
    <row r="12" spans="1:15" x14ac:dyDescent="0.2">
      <c r="A12" s="2">
        <v>173.33</v>
      </c>
      <c r="B12" s="2">
        <v>220.85</v>
      </c>
      <c r="C12" s="2">
        <v>106.21</v>
      </c>
      <c r="E12" s="8">
        <f t="shared" si="0"/>
        <v>2.6308198234581283E-2</v>
      </c>
      <c r="F12" s="12">
        <f t="shared" si="1"/>
        <v>6.9277790355444929E-3</v>
      </c>
      <c r="G12" s="12">
        <f t="shared" si="2"/>
        <v>9.4153092929102726E-3</v>
      </c>
    </row>
    <row r="13" spans="1:15" x14ac:dyDescent="0.2">
      <c r="A13" s="2">
        <v>177.89</v>
      </c>
      <c r="B13" s="2">
        <v>222.38</v>
      </c>
      <c r="C13" s="2">
        <v>107.21</v>
      </c>
      <c r="E13" s="8">
        <f t="shared" si="0"/>
        <v>-3.6539434481983248E-2</v>
      </c>
      <c r="F13" s="12">
        <f t="shared" si="1"/>
        <v>-7.0150193362712582E-3</v>
      </c>
      <c r="G13" s="12">
        <f t="shared" si="2"/>
        <v>-4.0854397910642624E-2</v>
      </c>
    </row>
    <row r="14" spans="1:15" x14ac:dyDescent="0.2">
      <c r="A14" s="2">
        <v>171.39</v>
      </c>
      <c r="B14" s="2">
        <v>220.82</v>
      </c>
      <c r="C14" s="2">
        <v>102.83</v>
      </c>
      <c r="E14" s="8">
        <f t="shared" si="0"/>
        <v>2.3396930976136411E-2</v>
      </c>
      <c r="F14" s="12">
        <f t="shared" si="1"/>
        <v>4.0757177791868223E-4</v>
      </c>
      <c r="G14" s="12">
        <f t="shared" si="2"/>
        <v>3.5398230088495582E-2</v>
      </c>
    </row>
    <row r="15" spans="1:15" x14ac:dyDescent="0.2">
      <c r="A15" s="2">
        <v>175.4</v>
      </c>
      <c r="B15" s="2">
        <v>220.91</v>
      </c>
      <c r="C15" s="2">
        <v>106.47</v>
      </c>
      <c r="E15" s="8">
        <f t="shared" si="0"/>
        <v>2.3660205245153967E-2</v>
      </c>
      <c r="F15" s="12">
        <f t="shared" si="1"/>
        <v>-3.6213842741387122E-3</v>
      </c>
      <c r="G15" s="12">
        <f t="shared" si="2"/>
        <v>1.5309476847938343E-2</v>
      </c>
    </row>
    <row r="16" spans="1:15" x14ac:dyDescent="0.2">
      <c r="A16" s="2">
        <v>179.55</v>
      </c>
      <c r="B16" s="2">
        <v>220.11</v>
      </c>
      <c r="C16" s="2">
        <v>108.1</v>
      </c>
      <c r="E16" s="8">
        <f t="shared" si="0"/>
        <v>2.7680311890838197E-2</v>
      </c>
      <c r="F16" s="12">
        <f t="shared" si="1"/>
        <v>1.1585116532642692E-2</v>
      </c>
      <c r="G16" s="12">
        <f t="shared" si="2"/>
        <v>8.1498612395929718E-2</v>
      </c>
    </row>
    <row r="17" spans="1:7" x14ac:dyDescent="0.2">
      <c r="A17" s="2">
        <v>184.52</v>
      </c>
      <c r="B17" s="2">
        <v>222.66</v>
      </c>
      <c r="C17" s="2">
        <v>116.91</v>
      </c>
      <c r="E17" s="8">
        <f t="shared" si="0"/>
        <v>1.3440277476696237E-2</v>
      </c>
      <c r="F17" s="12">
        <f t="shared" si="1"/>
        <v>4.9402676726854238E-4</v>
      </c>
      <c r="G17" s="12">
        <f t="shared" si="2"/>
        <v>1.9074501753485622E-2</v>
      </c>
    </row>
    <row r="18" spans="1:7" x14ac:dyDescent="0.2">
      <c r="A18" s="2">
        <v>187</v>
      </c>
      <c r="B18" s="2">
        <v>222.77</v>
      </c>
      <c r="C18" s="2">
        <v>119.14</v>
      </c>
      <c r="E18" s="8">
        <f t="shared" si="0"/>
        <v>-2.7272727272726785E-3</v>
      </c>
      <c r="F18" s="12">
        <f t="shared" si="1"/>
        <v>-1.2120123894600271E-3</v>
      </c>
      <c r="G18" s="12">
        <f t="shared" si="2"/>
        <v>-3.3573946617430125E-4</v>
      </c>
    </row>
    <row r="19" spans="1:7" x14ac:dyDescent="0.2">
      <c r="A19" s="2">
        <v>186.49</v>
      </c>
      <c r="B19" s="2">
        <v>222.5</v>
      </c>
      <c r="C19" s="2">
        <v>119.1</v>
      </c>
      <c r="E19" s="8">
        <f t="shared" si="0"/>
        <v>-8.5795485012602427E-3</v>
      </c>
      <c r="F19" s="12">
        <f t="shared" si="1"/>
        <v>-2.7775280898876435E-2</v>
      </c>
      <c r="G19" s="12">
        <f t="shared" si="2"/>
        <v>-1.9479429051217408E-2</v>
      </c>
    </row>
    <row r="20" spans="1:7" x14ac:dyDescent="0.2">
      <c r="A20" s="2">
        <v>184.89</v>
      </c>
      <c r="B20" s="2">
        <v>216.32</v>
      </c>
      <c r="C20" s="2">
        <v>116.78</v>
      </c>
      <c r="E20" s="8">
        <f t="shared" si="0"/>
        <v>1.0763156471415486E-2</v>
      </c>
      <c r="F20" s="12">
        <f t="shared" si="1"/>
        <v>2.1727071005917106E-3</v>
      </c>
      <c r="G20" s="12">
        <f t="shared" si="2"/>
        <v>-1.0190101044699416E-2</v>
      </c>
    </row>
    <row r="21" spans="1:7" x14ac:dyDescent="0.2">
      <c r="A21" s="2">
        <v>186.88</v>
      </c>
      <c r="B21" s="2">
        <v>216.79</v>
      </c>
      <c r="C21" s="2">
        <v>115.59</v>
      </c>
      <c r="E21" s="8">
        <f t="shared" si="0"/>
        <v>-2.4079623287670627E-3</v>
      </c>
      <c r="F21" s="12">
        <f t="shared" si="1"/>
        <v>1.7989759675261802E-2</v>
      </c>
      <c r="G21" s="12">
        <f t="shared" si="2"/>
        <v>-1.9205813651699963E-2</v>
      </c>
    </row>
    <row r="22" spans="1:7" x14ac:dyDescent="0.2">
      <c r="A22" s="2">
        <v>186.43</v>
      </c>
      <c r="B22" s="2">
        <v>220.69</v>
      </c>
      <c r="C22" s="2">
        <v>113.37</v>
      </c>
      <c r="E22" s="8">
        <f t="shared" si="0"/>
        <v>1.8451965885318874E-2</v>
      </c>
      <c r="F22" s="12">
        <f t="shared" si="1"/>
        <v>3.706556708505146E-2</v>
      </c>
      <c r="G22" s="12">
        <f t="shared" si="2"/>
        <v>3.9693040486901296E-2</v>
      </c>
    </row>
    <row r="23" spans="1:7" x14ac:dyDescent="0.2">
      <c r="A23" s="2">
        <v>189.87</v>
      </c>
      <c r="B23" s="2">
        <v>228.87</v>
      </c>
      <c r="C23" s="2">
        <v>117.87</v>
      </c>
      <c r="E23" s="8">
        <f t="shared" si="0"/>
        <v>9.1114973402854037E-3</v>
      </c>
      <c r="F23" s="12">
        <f t="shared" si="1"/>
        <v>-2.9274260497226196E-3</v>
      </c>
      <c r="G23" s="12">
        <f t="shared" si="2"/>
        <v>-1.5864935946381643E-2</v>
      </c>
    </row>
    <row r="24" spans="1:7" x14ac:dyDescent="0.2">
      <c r="A24" s="2">
        <v>191.6</v>
      </c>
      <c r="B24" s="2">
        <v>228.2</v>
      </c>
      <c r="C24" s="2">
        <v>116</v>
      </c>
      <c r="E24" s="8">
        <f t="shared" si="0"/>
        <v>1.1899791231732782E-2</v>
      </c>
      <c r="F24" s="12">
        <f t="shared" si="1"/>
        <v>-7.5810692375109104E-3</v>
      </c>
      <c r="G24" s="12">
        <f t="shared" si="2"/>
        <v>2.2413793103448717E-3</v>
      </c>
    </row>
    <row r="25" spans="1:7" x14ac:dyDescent="0.2">
      <c r="A25" s="2">
        <v>193.88</v>
      </c>
      <c r="B25" s="2">
        <v>226.47</v>
      </c>
      <c r="C25" s="2">
        <v>116.26</v>
      </c>
      <c r="E25" s="8">
        <f t="shared" si="0"/>
        <v>4.1262636682490463E-4</v>
      </c>
      <c r="F25" s="12">
        <f t="shared" si="1"/>
        <v>3.9740362961981973E-3</v>
      </c>
      <c r="G25" s="12">
        <f t="shared" si="2"/>
        <v>3.9652503010493716E-2</v>
      </c>
    </row>
    <row r="26" spans="1:7" x14ac:dyDescent="0.2">
      <c r="A26" s="2">
        <v>193.96</v>
      </c>
      <c r="B26" s="2">
        <v>227.37</v>
      </c>
      <c r="C26" s="2">
        <v>120.87</v>
      </c>
      <c r="E26" s="8">
        <f t="shared" si="0"/>
        <v>-7.3726541554960138E-3</v>
      </c>
      <c r="F26" s="12">
        <f t="shared" si="1"/>
        <v>-4.3981176056647753E-3</v>
      </c>
      <c r="G26" s="12">
        <f t="shared" si="2"/>
        <v>2.1841648051625716E-2</v>
      </c>
    </row>
    <row r="27" spans="1:7" x14ac:dyDescent="0.2">
      <c r="A27" s="2">
        <v>192.53</v>
      </c>
      <c r="B27" s="2">
        <v>226.37</v>
      </c>
      <c r="C27" s="2">
        <v>123.51</v>
      </c>
      <c r="E27" s="8">
        <f t="shared" si="0"/>
        <v>-7.1157741650652081E-3</v>
      </c>
      <c r="F27" s="12">
        <f t="shared" si="1"/>
        <v>5.0801784688784104E-3</v>
      </c>
      <c r="G27" s="12">
        <f t="shared" si="2"/>
        <v>4.29115051412842E-3</v>
      </c>
    </row>
    <row r="28" spans="1:7" x14ac:dyDescent="0.2">
      <c r="A28" s="2">
        <v>191.16</v>
      </c>
      <c r="B28" s="2">
        <v>227.52</v>
      </c>
      <c r="C28" s="2">
        <v>124.04</v>
      </c>
      <c r="E28" s="8">
        <f t="shared" si="0"/>
        <v>-1.6687591546348596E-2</v>
      </c>
      <c r="F28" s="12">
        <f t="shared" si="1"/>
        <v>1.1867088607594137E-3</v>
      </c>
      <c r="G28" s="12">
        <f t="shared" si="2"/>
        <v>-2.1283456949371175E-2</v>
      </c>
    </row>
    <row r="29" spans="1:7" x14ac:dyDescent="0.2">
      <c r="A29" s="2">
        <v>187.97</v>
      </c>
      <c r="B29" s="2">
        <v>227.79</v>
      </c>
      <c r="C29" s="2">
        <v>121.4</v>
      </c>
      <c r="E29" s="8">
        <f t="shared" si="0"/>
        <v>-8.7247965100813226E-3</v>
      </c>
      <c r="F29" s="12">
        <f t="shared" si="1"/>
        <v>2.2871943456692603E-2</v>
      </c>
      <c r="G29" s="12">
        <f t="shared" si="2"/>
        <v>3.2948929159795751E-4</v>
      </c>
    </row>
    <row r="30" spans="1:7" x14ac:dyDescent="0.2">
      <c r="A30" s="2">
        <v>186.33</v>
      </c>
      <c r="B30" s="2">
        <v>233</v>
      </c>
      <c r="C30" s="2">
        <v>121.44</v>
      </c>
      <c r="E30" s="8">
        <f t="shared" si="0"/>
        <v>-6.4401867654162882E-3</v>
      </c>
      <c r="F30" s="12">
        <f t="shared" si="1"/>
        <v>-2.9141630901287519E-2</v>
      </c>
      <c r="G30" s="12">
        <f t="shared" si="2"/>
        <v>-3.6561264822134371E-2</v>
      </c>
    </row>
    <row r="31" spans="1:7" x14ac:dyDescent="0.2">
      <c r="A31" s="2">
        <v>185.13</v>
      </c>
      <c r="B31" s="2">
        <v>226.21</v>
      </c>
      <c r="C31" s="2">
        <v>117</v>
      </c>
      <c r="E31" s="8">
        <f t="shared" si="0"/>
        <v>-1.9985955814833065E-3</v>
      </c>
      <c r="F31" s="12">
        <f t="shared" si="1"/>
        <v>2.5197825029839227E-3</v>
      </c>
      <c r="G31" s="12">
        <f t="shared" si="2"/>
        <v>1.5811965811965763E-2</v>
      </c>
    </row>
    <row r="32" spans="1:7" x14ac:dyDescent="0.2">
      <c r="A32" s="2">
        <v>184.76</v>
      </c>
      <c r="B32" s="2">
        <v>226.78</v>
      </c>
      <c r="C32" s="2">
        <v>118.85</v>
      </c>
      <c r="E32" s="8">
        <f t="shared" si="0"/>
        <v>-1.515479541026187E-2</v>
      </c>
      <c r="F32" s="12">
        <f t="shared" si="1"/>
        <v>-4.8946115177705869E-3</v>
      </c>
      <c r="G32" s="12">
        <f t="shared" si="2"/>
        <v>3.3655868742111905E-2</v>
      </c>
    </row>
    <row r="33" spans="1:7" x14ac:dyDescent="0.2">
      <c r="A33" s="2">
        <v>181.96</v>
      </c>
      <c r="B33" s="2">
        <v>225.67</v>
      </c>
      <c r="C33" s="2">
        <v>122.85</v>
      </c>
      <c r="E33" s="8">
        <f t="shared" si="0"/>
        <v>2.5005495713343498E-2</v>
      </c>
      <c r="F33" s="12">
        <f t="shared" si="1"/>
        <v>5.0073115611291887E-3</v>
      </c>
      <c r="G33" s="12">
        <f t="shared" si="2"/>
        <v>1.6849816849816911E-2</v>
      </c>
    </row>
    <row r="34" spans="1:7" x14ac:dyDescent="0.2">
      <c r="A34" s="2">
        <v>186.51</v>
      </c>
      <c r="B34" s="2">
        <v>226.8</v>
      </c>
      <c r="C34" s="2">
        <v>124.92</v>
      </c>
      <c r="E34" s="8">
        <f t="shared" ref="E34:E65" si="3">(A35-A34)/A34</f>
        <v>-3.0614980430003644E-2</v>
      </c>
      <c r="F34" s="12">
        <f t="shared" ref="F34:F65" si="4">(B35-B34)/B34</f>
        <v>-2.2530864197530923E-2</v>
      </c>
      <c r="G34" s="12">
        <f t="shared" ref="G34:G65" si="5">(C35-C34)/C34</f>
        <v>2.2414345180915764E-2</v>
      </c>
    </row>
    <row r="35" spans="1:7" x14ac:dyDescent="0.2">
      <c r="A35" s="2">
        <v>180.8</v>
      </c>
      <c r="B35" s="2">
        <v>221.69</v>
      </c>
      <c r="C35" s="2">
        <v>127.72</v>
      </c>
      <c r="E35" s="8">
        <f t="shared" si="3"/>
        <v>1.0619469026548603E-2</v>
      </c>
      <c r="F35" s="12">
        <f t="shared" si="4"/>
        <v>1.8404077766250224E-2</v>
      </c>
      <c r="G35" s="12">
        <f t="shared" si="5"/>
        <v>4.0479173191355994E-2</v>
      </c>
    </row>
    <row r="36" spans="1:7" x14ac:dyDescent="0.2">
      <c r="A36" s="2">
        <v>182.72</v>
      </c>
      <c r="B36" s="2">
        <v>225.77</v>
      </c>
      <c r="C36" s="2">
        <v>132.88999999999999</v>
      </c>
      <c r="E36" s="8">
        <f t="shared" si="3"/>
        <v>1.340849387040274E-2</v>
      </c>
      <c r="F36" s="12">
        <f t="shared" si="4"/>
        <v>1.6698409886167258E-2</v>
      </c>
      <c r="G36" s="12">
        <f t="shared" si="5"/>
        <v>-1.8060049665135126E-3</v>
      </c>
    </row>
    <row r="37" spans="1:7" x14ac:dyDescent="0.2">
      <c r="A37" s="2">
        <v>185.17</v>
      </c>
      <c r="B37" s="2">
        <v>229.54</v>
      </c>
      <c r="C37" s="2">
        <v>132.65</v>
      </c>
      <c r="E37" s="8">
        <f t="shared" si="3"/>
        <v>7.9926553977427133E-3</v>
      </c>
      <c r="F37" s="12">
        <f t="shared" si="4"/>
        <v>-2.178269582643548E-3</v>
      </c>
      <c r="G37" s="12">
        <f t="shared" si="5"/>
        <v>1.6283452695062168E-2</v>
      </c>
    </row>
    <row r="38" spans="1:7" x14ac:dyDescent="0.2">
      <c r="A38" s="2">
        <v>186.65</v>
      </c>
      <c r="B38" s="2">
        <v>229.04</v>
      </c>
      <c r="C38" s="2">
        <v>134.81</v>
      </c>
      <c r="E38" s="8">
        <f t="shared" si="3"/>
        <v>1.1626038039110567E-2</v>
      </c>
      <c r="F38" s="12">
        <f t="shared" si="4"/>
        <v>-6.5054139015018365E-3</v>
      </c>
      <c r="G38" s="12">
        <f t="shared" si="5"/>
        <v>-7.4178473406949811E-5</v>
      </c>
    </row>
    <row r="39" spans="1:7" x14ac:dyDescent="0.2">
      <c r="A39" s="2">
        <v>188.82</v>
      </c>
      <c r="B39" s="2">
        <v>227.55</v>
      </c>
      <c r="C39" s="2">
        <v>134.80000000000001</v>
      </c>
      <c r="E39" s="8">
        <f t="shared" si="3"/>
        <v>-6.7789429085901983E-3</v>
      </c>
      <c r="F39" s="12">
        <f t="shared" si="4"/>
        <v>1.6479894528675015E-2</v>
      </c>
      <c r="G39" s="12">
        <f t="shared" si="5"/>
        <v>2.4258160237388585E-2</v>
      </c>
    </row>
    <row r="40" spans="1:7" x14ac:dyDescent="0.2">
      <c r="A40" s="2">
        <v>187.54</v>
      </c>
      <c r="B40" s="2">
        <v>231.3</v>
      </c>
      <c r="C40" s="2">
        <v>138.07</v>
      </c>
      <c r="E40" s="8">
        <f t="shared" si="3"/>
        <v>7.9982936973448701E-4</v>
      </c>
      <c r="F40" s="12">
        <f t="shared" si="4"/>
        <v>1.1024643320363091E-2</v>
      </c>
      <c r="G40" s="12">
        <f t="shared" si="5"/>
        <v>-4.686028825957847E-2</v>
      </c>
    </row>
    <row r="41" spans="1:7" x14ac:dyDescent="0.2">
      <c r="A41" s="2">
        <v>187.69</v>
      </c>
      <c r="B41" s="2">
        <v>233.85</v>
      </c>
      <c r="C41" s="2">
        <v>131.6</v>
      </c>
      <c r="E41" s="8">
        <f t="shared" si="3"/>
        <v>-4.2623474878790103E-3</v>
      </c>
      <c r="F41" s="12">
        <f t="shared" si="4"/>
        <v>-8.8518280949326199E-3</v>
      </c>
      <c r="G41" s="12">
        <f t="shared" si="5"/>
        <v>3.1306990881459003E-2</v>
      </c>
    </row>
    <row r="42" spans="1:7" x14ac:dyDescent="0.2">
      <c r="A42" s="2">
        <v>186.89</v>
      </c>
      <c r="B42" s="2">
        <v>231.78</v>
      </c>
      <c r="C42" s="2">
        <v>135.72</v>
      </c>
      <c r="E42" s="8">
        <f t="shared" si="3"/>
        <v>3.4244742896892013E-3</v>
      </c>
      <c r="F42" s="12">
        <f t="shared" si="4"/>
        <v>1.5963413581845049E-3</v>
      </c>
      <c r="G42" s="12">
        <f t="shared" si="5"/>
        <v>8.9154140878279393E-3</v>
      </c>
    </row>
    <row r="43" spans="1:7" x14ac:dyDescent="0.2">
      <c r="A43" s="2">
        <v>187.53</v>
      </c>
      <c r="B43" s="2">
        <v>232.15</v>
      </c>
      <c r="C43" s="2">
        <v>136.93</v>
      </c>
      <c r="E43" s="8">
        <f t="shared" si="3"/>
        <v>7.7854209993068199E-3</v>
      </c>
      <c r="F43" s="12">
        <f t="shared" si="4"/>
        <v>1.2276545337066527E-2</v>
      </c>
      <c r="G43" s="12">
        <f t="shared" si="5"/>
        <v>7.8142116409843938E-3</v>
      </c>
    </row>
    <row r="44" spans="1:7" x14ac:dyDescent="0.2">
      <c r="A44" s="2">
        <v>188.99</v>
      </c>
      <c r="B44" s="2">
        <v>235</v>
      </c>
      <c r="C44" s="2">
        <v>138</v>
      </c>
      <c r="E44" s="8">
        <f t="shared" si="3"/>
        <v>4.2330282025495572E-4</v>
      </c>
      <c r="F44" s="12">
        <f t="shared" si="4"/>
        <v>6.2978723404254885E-3</v>
      </c>
      <c r="G44" s="12">
        <f t="shared" si="5"/>
        <v>4.1376811594202957E-2</v>
      </c>
    </row>
    <row r="45" spans="1:7" x14ac:dyDescent="0.2">
      <c r="A45" s="2">
        <v>189.07</v>
      </c>
      <c r="B45" s="2">
        <v>236.48</v>
      </c>
      <c r="C45" s="2">
        <v>143.71</v>
      </c>
      <c r="E45" s="8">
        <f t="shared" si="3"/>
        <v>3.3320992225101577E-3</v>
      </c>
      <c r="F45" s="12">
        <f t="shared" si="4"/>
        <v>-2.6217861975641752E-3</v>
      </c>
      <c r="G45" s="12">
        <f t="shared" si="5"/>
        <v>-8.3501496068474391E-4</v>
      </c>
    </row>
    <row r="46" spans="1:7" x14ac:dyDescent="0.2">
      <c r="A46" s="2">
        <v>189.7</v>
      </c>
      <c r="B46" s="2">
        <v>235.86</v>
      </c>
      <c r="C46" s="2">
        <v>143.59</v>
      </c>
      <c r="E46" s="8">
        <f t="shared" si="3"/>
        <v>-2.6304691618344655E-2</v>
      </c>
      <c r="F46" s="12">
        <f t="shared" si="4"/>
        <v>-2.1622996692953544E-2</v>
      </c>
      <c r="G46" s="12">
        <f t="shared" si="5"/>
        <v>-2.8066021310676238E-2</v>
      </c>
    </row>
    <row r="47" spans="1:7" x14ac:dyDescent="0.2">
      <c r="A47" s="2">
        <v>184.71</v>
      </c>
      <c r="B47" s="2">
        <v>230.76</v>
      </c>
      <c r="C47" s="2">
        <v>139.56</v>
      </c>
      <c r="E47" s="8">
        <f t="shared" si="3"/>
        <v>9.0411997184775463E-3</v>
      </c>
      <c r="F47" s="12">
        <f t="shared" si="4"/>
        <v>-8.2336626798404291E-4</v>
      </c>
      <c r="G47" s="12">
        <f t="shared" si="5"/>
        <v>6.0905703640011053E-3</v>
      </c>
    </row>
    <row r="48" spans="1:7" x14ac:dyDescent="0.2">
      <c r="A48" s="2">
        <v>186.38</v>
      </c>
      <c r="B48" s="2">
        <v>230.57</v>
      </c>
      <c r="C48" s="2">
        <v>140.41</v>
      </c>
      <c r="E48" s="8">
        <f t="shared" si="3"/>
        <v>7.7798047000752074E-3</v>
      </c>
      <c r="F48" s="12">
        <f t="shared" si="4"/>
        <v>3.6431452487314196E-3</v>
      </c>
      <c r="G48" s="12">
        <f t="shared" si="5"/>
        <v>8.0478598390427702E-3</v>
      </c>
    </row>
    <row r="49" spans="1:7" x14ac:dyDescent="0.2">
      <c r="A49" s="2">
        <v>187.83</v>
      </c>
      <c r="B49" s="2">
        <v>231.41</v>
      </c>
      <c r="C49" s="2">
        <v>141.54</v>
      </c>
      <c r="E49" s="8">
        <f t="shared" si="3"/>
        <v>2.9814193685778301E-3</v>
      </c>
      <c r="F49" s="12">
        <f t="shared" si="4"/>
        <v>8.599455511862102E-3</v>
      </c>
      <c r="G49" s="12">
        <f t="shared" si="5"/>
        <v>-7.2064434082236952E-3</v>
      </c>
    </row>
    <row r="50" spans="1:7" x14ac:dyDescent="0.2">
      <c r="A50" s="2">
        <v>188.39</v>
      </c>
      <c r="B50" s="2">
        <v>233.4</v>
      </c>
      <c r="C50" s="2">
        <v>140.52000000000001</v>
      </c>
      <c r="E50" s="8">
        <f t="shared" si="3"/>
        <v>1.2951855194012561E-2</v>
      </c>
      <c r="F50" s="12">
        <f t="shared" si="4"/>
        <v>1.1568123393315415E-3</v>
      </c>
      <c r="G50" s="12">
        <f t="shared" si="5"/>
        <v>5.1949900370053355E-3</v>
      </c>
    </row>
    <row r="51" spans="1:7" x14ac:dyDescent="0.2">
      <c r="A51" s="2">
        <v>190.83</v>
      </c>
      <c r="B51" s="2">
        <v>233.67</v>
      </c>
      <c r="C51" s="2">
        <v>141.25</v>
      </c>
      <c r="E51" s="8">
        <f t="shared" si="3"/>
        <v>9.9565057904940375E-3</v>
      </c>
      <c r="F51" s="12">
        <f t="shared" si="4"/>
        <v>-1.5277956091924481E-2</v>
      </c>
      <c r="G51" s="12">
        <f t="shared" si="5"/>
        <v>-1.3522123893805285E-2</v>
      </c>
    </row>
    <row r="52" spans="1:7" x14ac:dyDescent="0.2">
      <c r="A52" s="2">
        <v>192.73</v>
      </c>
      <c r="B52" s="2">
        <v>230.1</v>
      </c>
      <c r="C52" s="2">
        <v>139.34</v>
      </c>
      <c r="E52" s="8">
        <f t="shared" si="3"/>
        <v>-3.2843874850827501E-2</v>
      </c>
      <c r="F52" s="12">
        <f t="shared" si="4"/>
        <v>-1.8209474141677524E-2</v>
      </c>
      <c r="G52" s="12">
        <f t="shared" si="5"/>
        <v>-4.7222620927228454E-2</v>
      </c>
    </row>
    <row r="53" spans="1:7" x14ac:dyDescent="0.2">
      <c r="A53" s="2">
        <v>186.4</v>
      </c>
      <c r="B53" s="2">
        <v>225.91</v>
      </c>
      <c r="C53" s="2">
        <v>132.76</v>
      </c>
      <c r="E53" s="8">
        <f t="shared" si="3"/>
        <v>6.1856223175965667E-2</v>
      </c>
      <c r="F53" s="12">
        <f t="shared" si="4"/>
        <v>-1.3279624629277146E-2</v>
      </c>
      <c r="G53" s="12">
        <f t="shared" si="5"/>
        <v>1.9885507683037172E-2</v>
      </c>
    </row>
    <row r="54" spans="1:7" x14ac:dyDescent="0.2">
      <c r="A54" s="2">
        <v>197.93</v>
      </c>
      <c r="B54" s="2">
        <v>222.91</v>
      </c>
      <c r="C54" s="2">
        <v>135.4</v>
      </c>
      <c r="E54" s="8">
        <f t="shared" si="3"/>
        <v>-1.0862426110241023E-2</v>
      </c>
      <c r="F54" s="12">
        <f t="shared" si="4"/>
        <v>-4.0375039253510644E-3</v>
      </c>
      <c r="G54" s="12">
        <f t="shared" si="5"/>
        <v>4.8005908419498202E-3</v>
      </c>
    </row>
    <row r="55" spans="1:7" x14ac:dyDescent="0.2">
      <c r="A55" s="2">
        <v>195.78</v>
      </c>
      <c r="B55" s="2">
        <v>222.01</v>
      </c>
      <c r="C55" s="2">
        <v>136.05000000000001</v>
      </c>
      <c r="E55" s="8">
        <f t="shared" si="3"/>
        <v>1.9000919399325768E-2</v>
      </c>
      <c r="F55" s="12">
        <f t="shared" si="4"/>
        <v>6.4861943155713605E-3</v>
      </c>
      <c r="G55" s="12">
        <f t="shared" si="5"/>
        <v>2.8371922087467732E-2</v>
      </c>
    </row>
    <row r="56" spans="1:7" x14ac:dyDescent="0.2">
      <c r="A56" s="2">
        <v>199.5</v>
      </c>
      <c r="B56" s="2">
        <v>223.45</v>
      </c>
      <c r="C56" s="2">
        <v>139.91</v>
      </c>
      <c r="E56" s="8">
        <f t="shared" si="3"/>
        <v>3.8045112781954903E-2</v>
      </c>
      <c r="F56" s="12">
        <f t="shared" si="4"/>
        <v>-3.2669501006936221E-3</v>
      </c>
      <c r="G56" s="12">
        <f t="shared" si="5"/>
        <v>4.0740476020298885E-2</v>
      </c>
    </row>
    <row r="57" spans="1:7" x14ac:dyDescent="0.2">
      <c r="A57" s="2">
        <v>207.09</v>
      </c>
      <c r="B57" s="2">
        <v>222.72</v>
      </c>
      <c r="C57" s="2">
        <v>145.61000000000001</v>
      </c>
      <c r="E57" s="8">
        <f t="shared" si="3"/>
        <v>1.4293302428895687E-2</v>
      </c>
      <c r="F57" s="12">
        <f t="shared" si="4"/>
        <v>2.1372126436781567E-2</v>
      </c>
      <c r="G57" s="12">
        <f t="shared" si="5"/>
        <v>2.2457248815328491E-2</v>
      </c>
    </row>
    <row r="58" spans="1:7" x14ac:dyDescent="0.2">
      <c r="A58" s="2">
        <v>210.05</v>
      </c>
      <c r="B58" s="2">
        <v>227.48</v>
      </c>
      <c r="C58" s="2">
        <v>148.88</v>
      </c>
      <c r="E58" s="8">
        <f t="shared" si="3"/>
        <v>-8.9026422280409634E-3</v>
      </c>
      <c r="F58" s="12">
        <f t="shared" si="4"/>
        <v>-2.2859152452962099E-3</v>
      </c>
      <c r="G58" s="12">
        <f t="shared" si="5"/>
        <v>-8.3960236432025787E-3</v>
      </c>
    </row>
    <row r="59" spans="1:7" x14ac:dyDescent="0.2">
      <c r="A59" s="2">
        <v>208.18</v>
      </c>
      <c r="B59" s="2">
        <v>226.96</v>
      </c>
      <c r="C59" s="2">
        <v>147.63</v>
      </c>
      <c r="E59" s="8">
        <f t="shared" si="3"/>
        <v>-6.43673743875494E-3</v>
      </c>
      <c r="F59" s="12">
        <f t="shared" si="4"/>
        <v>-1.2028551286570401E-2</v>
      </c>
      <c r="G59" s="12">
        <f t="shared" si="5"/>
        <v>-1.6053647632595033E-2</v>
      </c>
    </row>
    <row r="60" spans="1:7" x14ac:dyDescent="0.2">
      <c r="A60" s="2">
        <v>206.84</v>
      </c>
      <c r="B60" s="2">
        <v>224.23</v>
      </c>
      <c r="C60" s="2">
        <v>145.26</v>
      </c>
      <c r="E60" s="8">
        <f t="shared" si="3"/>
        <v>1.0007735447689002E-2</v>
      </c>
      <c r="F60" s="12">
        <f t="shared" si="4"/>
        <v>0</v>
      </c>
      <c r="G60" s="12">
        <f t="shared" si="5"/>
        <v>2.0859149111937224E-2</v>
      </c>
    </row>
    <row r="61" spans="1:7" x14ac:dyDescent="0.2">
      <c r="A61" s="2">
        <v>208.91</v>
      </c>
      <c r="B61" s="2">
        <v>224.23</v>
      </c>
      <c r="C61" s="2">
        <v>148.29</v>
      </c>
      <c r="E61" s="8">
        <f t="shared" si="3"/>
        <v>2.484323392848594E-2</v>
      </c>
      <c r="F61" s="12">
        <f t="shared" si="4"/>
        <v>3.9691388306650087E-3</v>
      </c>
      <c r="G61" s="12">
        <f t="shared" si="5"/>
        <v>-1.3621956976195171E-2</v>
      </c>
    </row>
    <row r="62" spans="1:7" x14ac:dyDescent="0.2">
      <c r="A62" s="2">
        <v>214.1</v>
      </c>
      <c r="B62" s="2">
        <v>225.12</v>
      </c>
      <c r="C62" s="2">
        <v>146.27000000000001</v>
      </c>
      <c r="E62" s="8">
        <f t="shared" si="3"/>
        <v>-1.223727230266233E-2</v>
      </c>
      <c r="F62" s="12">
        <f t="shared" si="4"/>
        <v>1.3770433546552925E-2</v>
      </c>
      <c r="G62" s="12">
        <f t="shared" si="5"/>
        <v>3.349969234976281E-3</v>
      </c>
    </row>
    <row r="63" spans="1:7" x14ac:dyDescent="0.2">
      <c r="A63" s="2">
        <v>211.48</v>
      </c>
      <c r="B63" s="2">
        <v>228.22</v>
      </c>
      <c r="C63" s="2">
        <v>146.76</v>
      </c>
      <c r="E63" s="8">
        <f t="shared" si="3"/>
        <v>-4.1942500472857844E-2</v>
      </c>
      <c r="F63" s="12">
        <f t="shared" si="4"/>
        <v>-1.4109192884059237E-2</v>
      </c>
      <c r="G63" s="12">
        <f t="shared" si="5"/>
        <v>-3.2570182611065694E-2</v>
      </c>
    </row>
    <row r="64" spans="1:7" x14ac:dyDescent="0.2">
      <c r="A64" s="2">
        <v>202.61</v>
      </c>
      <c r="B64" s="2">
        <v>225</v>
      </c>
      <c r="C64" s="2">
        <v>141.97999999999999</v>
      </c>
      <c r="E64" s="8">
        <f t="shared" si="3"/>
        <v>-4.4913873945018751E-3</v>
      </c>
      <c r="F64" s="12">
        <f t="shared" si="4"/>
        <v>1.3422222222222268E-2</v>
      </c>
      <c r="G64" s="12">
        <f t="shared" si="5"/>
        <v>-1.2889139315396423E-2</v>
      </c>
    </row>
    <row r="65" spans="1:7" x14ac:dyDescent="0.2">
      <c r="A65" s="2">
        <v>201.7</v>
      </c>
      <c r="B65" s="2">
        <v>228.02</v>
      </c>
      <c r="C65" s="2">
        <v>140.15</v>
      </c>
      <c r="E65" s="8">
        <f t="shared" si="3"/>
        <v>1.4427367377293134E-2</v>
      </c>
      <c r="F65" s="12">
        <f t="shared" si="4"/>
        <v>1.1402508551881015E-3</v>
      </c>
      <c r="G65" s="12">
        <f t="shared" si="5"/>
        <v>4.8947556189796536E-2</v>
      </c>
    </row>
    <row r="66" spans="1:7" x14ac:dyDescent="0.2">
      <c r="A66" s="2">
        <v>204.61</v>
      </c>
      <c r="B66" s="2">
        <v>228.28</v>
      </c>
      <c r="C66" s="2">
        <v>147.01</v>
      </c>
      <c r="E66" s="8">
        <f t="shared" ref="E66:E97" si="6">(A67-A66)/A66</f>
        <v>-8.4551097209325937E-3</v>
      </c>
      <c r="F66" s="12">
        <f t="shared" ref="F66:F97" si="7">(B67-B66)/B66</f>
        <v>3.1540213772559963E-3</v>
      </c>
      <c r="G66" s="12">
        <f t="shared" ref="G66:G97" si="8">(C67-C66)/C66</f>
        <v>-7.618529351744811E-3</v>
      </c>
    </row>
    <row r="67" spans="1:7" x14ac:dyDescent="0.2">
      <c r="A67" s="2">
        <v>202.88</v>
      </c>
      <c r="B67" s="2">
        <v>229</v>
      </c>
      <c r="C67" s="2">
        <v>145.88999999999999</v>
      </c>
      <c r="E67" s="8">
        <f t="shared" si="6"/>
        <v>-2.2180599369085174E-2</v>
      </c>
      <c r="F67" s="12">
        <f t="shared" si="7"/>
        <v>-2.0960698689955885E-3</v>
      </c>
      <c r="G67" s="12">
        <f t="shared" si="8"/>
        <v>5.346493933785737E-3</v>
      </c>
    </row>
    <row r="68" spans="1:7" x14ac:dyDescent="0.2">
      <c r="A68" s="2">
        <v>198.38</v>
      </c>
      <c r="B68" s="2">
        <v>228.52</v>
      </c>
      <c r="C68" s="2">
        <v>146.66999999999999</v>
      </c>
      <c r="E68" s="8">
        <f t="shared" si="6"/>
        <v>-6.3514467184191499E-3</v>
      </c>
      <c r="F68" s="12">
        <f t="shared" si="7"/>
        <v>5.907579205321172E-3</v>
      </c>
      <c r="G68" s="12">
        <f t="shared" si="8"/>
        <v>-3.2181086793481958E-2</v>
      </c>
    </row>
    <row r="69" spans="1:7" x14ac:dyDescent="0.2">
      <c r="A69" s="2">
        <v>197.12</v>
      </c>
      <c r="B69" s="2">
        <v>229.87</v>
      </c>
      <c r="C69" s="2">
        <v>141.94999999999999</v>
      </c>
      <c r="E69" s="8">
        <f t="shared" si="6"/>
        <v>2.1966314935064853E-2</v>
      </c>
      <c r="F69" s="12">
        <f t="shared" si="7"/>
        <v>1.3050854830991429E-2</v>
      </c>
      <c r="G69" s="12">
        <f t="shared" si="8"/>
        <v>-4.1775272983444724E-2</v>
      </c>
    </row>
    <row r="70" spans="1:7" x14ac:dyDescent="0.2">
      <c r="A70" s="2">
        <v>201.45</v>
      </c>
      <c r="B70" s="2">
        <v>232.87</v>
      </c>
      <c r="C70" s="2">
        <v>136.02000000000001</v>
      </c>
      <c r="E70" s="8">
        <f t="shared" si="6"/>
        <v>3.1819310002482129E-2</v>
      </c>
      <c r="F70" s="12">
        <f t="shared" si="7"/>
        <v>9.4043887147335324E-3</v>
      </c>
      <c r="G70" s="12">
        <f t="shared" si="8"/>
        <v>6.6166740185265192E-3</v>
      </c>
    </row>
    <row r="71" spans="1:7" x14ac:dyDescent="0.2">
      <c r="A71" s="2">
        <v>207.86</v>
      </c>
      <c r="B71" s="2">
        <v>235.06</v>
      </c>
      <c r="C71" s="2">
        <v>136.91999999999999</v>
      </c>
      <c r="E71" s="8">
        <f t="shared" si="6"/>
        <v>-1.0199172519965383E-2</v>
      </c>
      <c r="F71" s="12">
        <f t="shared" si="7"/>
        <v>-5.530502850335891E-4</v>
      </c>
      <c r="G71" s="12">
        <f t="shared" si="8"/>
        <v>-1.1539585159216947E-2</v>
      </c>
    </row>
    <row r="72" spans="1:7" x14ac:dyDescent="0.2">
      <c r="A72" s="2">
        <v>205.74</v>
      </c>
      <c r="B72" s="2">
        <v>234.93</v>
      </c>
      <c r="C72" s="2">
        <v>135.34</v>
      </c>
      <c r="E72" s="8">
        <f t="shared" si="6"/>
        <v>1.0450082628560209E-2</v>
      </c>
      <c r="F72" s="12">
        <f t="shared" si="7"/>
        <v>1.0215808964372391E-2</v>
      </c>
      <c r="G72" s="12">
        <f t="shared" si="8"/>
        <v>2.150140387173043E-2</v>
      </c>
    </row>
    <row r="73" spans="1:7" x14ac:dyDescent="0.2">
      <c r="A73" s="2">
        <v>207.89</v>
      </c>
      <c r="B73" s="2">
        <v>237.33</v>
      </c>
      <c r="C73" s="2">
        <v>138.25</v>
      </c>
      <c r="E73" s="8">
        <f t="shared" si="6"/>
        <v>1.3564866034922419E-2</v>
      </c>
      <c r="F73" s="12">
        <f t="shared" si="7"/>
        <v>9.5226056545737615E-3</v>
      </c>
      <c r="G73" s="12">
        <f t="shared" si="8"/>
        <v>2.7486437613019562E-3</v>
      </c>
    </row>
    <row r="74" spans="1:7" x14ac:dyDescent="0.2">
      <c r="A74">
        <v>210.71</v>
      </c>
      <c r="B74" s="2">
        <v>239.59</v>
      </c>
      <c r="C74" s="2">
        <v>138.63</v>
      </c>
      <c r="E74" s="8">
        <f t="shared" si="6"/>
        <v>1.2956195719234918E-2</v>
      </c>
      <c r="F74" s="12">
        <f t="shared" si="7"/>
        <v>1.2771818523310665E-2</v>
      </c>
      <c r="G74" s="12">
        <f t="shared" si="8"/>
        <v>1.1757916756834708E-2</v>
      </c>
    </row>
    <row r="75" spans="1:7" x14ac:dyDescent="0.2">
      <c r="A75">
        <v>213.44</v>
      </c>
      <c r="B75" s="2">
        <v>242.65</v>
      </c>
      <c r="C75" s="2">
        <v>140.26</v>
      </c>
      <c r="E75" s="8">
        <f t="shared" si="6"/>
        <v>2.2113943028485752E-2</v>
      </c>
      <c r="F75" s="12">
        <f t="shared" si="7"/>
        <v>1.4836183803832071E-3</v>
      </c>
      <c r="G75" s="12">
        <f t="shared" si="8"/>
        <v>3.4792528161984852E-2</v>
      </c>
    </row>
    <row r="76" spans="1:7" x14ac:dyDescent="0.2">
      <c r="A76">
        <v>218.16</v>
      </c>
      <c r="B76" s="2">
        <v>243.01</v>
      </c>
      <c r="C76" s="2">
        <v>145.13999999999999</v>
      </c>
      <c r="E76" s="8">
        <f t="shared" si="6"/>
        <v>1.0955262192886023E-2</v>
      </c>
      <c r="F76" s="12">
        <f t="shared" si="7"/>
        <v>1.2345170980618549E-4</v>
      </c>
      <c r="G76" s="12">
        <f t="shared" si="8"/>
        <v>-5.5119195259738251E-4</v>
      </c>
    </row>
    <row r="77" spans="1:7" x14ac:dyDescent="0.2">
      <c r="A77">
        <v>220.55</v>
      </c>
      <c r="B77" s="2">
        <v>243.04</v>
      </c>
      <c r="C77" s="2">
        <v>145.06</v>
      </c>
      <c r="E77" s="8">
        <f t="shared" si="6"/>
        <v>2.9381092722738561E-2</v>
      </c>
      <c r="F77" s="12">
        <f t="shared" si="7"/>
        <v>-8.2290980908487758E-4</v>
      </c>
      <c r="G77" s="12">
        <f t="shared" si="8"/>
        <v>-1.8061491796498033E-2</v>
      </c>
    </row>
    <row r="78" spans="1:7" x14ac:dyDescent="0.2">
      <c r="A78">
        <v>227.03</v>
      </c>
      <c r="B78" s="2">
        <v>242.84</v>
      </c>
      <c r="C78" s="2">
        <v>142.44</v>
      </c>
      <c r="E78" s="8">
        <f t="shared" si="6"/>
        <v>-4.1404219706646598E-3</v>
      </c>
      <c r="F78" s="12">
        <f t="shared" si="7"/>
        <v>1.6101136550815336E-2</v>
      </c>
      <c r="G78" s="12">
        <f t="shared" si="8"/>
        <v>-2.5484414490311677E-2</v>
      </c>
    </row>
    <row r="79" spans="1:7" x14ac:dyDescent="0.2">
      <c r="A79">
        <v>226.09</v>
      </c>
      <c r="B79" s="2">
        <v>246.75</v>
      </c>
      <c r="C79" s="2">
        <v>138.81</v>
      </c>
      <c r="E79" s="8">
        <f t="shared" si="6"/>
        <v>-4.644168251581279E-3</v>
      </c>
      <c r="F79" s="12">
        <f t="shared" si="7"/>
        <v>4.1337386018237493E-3</v>
      </c>
      <c r="G79" s="12">
        <f t="shared" si="8"/>
        <v>-2.694330379655651E-2</v>
      </c>
    </row>
    <row r="80" spans="1:7" x14ac:dyDescent="0.2">
      <c r="A80">
        <v>225.04</v>
      </c>
      <c r="B80" s="2">
        <v>247.77</v>
      </c>
      <c r="C80" s="2">
        <v>135.07</v>
      </c>
      <c r="E80" s="8">
        <f t="shared" si="6"/>
        <v>2.3195876288659791E-2</v>
      </c>
      <c r="F80" s="12">
        <f t="shared" si="7"/>
        <v>-5.166081446502809E-3</v>
      </c>
      <c r="G80" s="12">
        <f t="shared" si="8"/>
        <v>3.1391130524913075E-2</v>
      </c>
    </row>
    <row r="81" spans="1:7" x14ac:dyDescent="0.2">
      <c r="A81">
        <v>230.26</v>
      </c>
      <c r="B81" s="2">
        <v>246.49</v>
      </c>
      <c r="C81" s="2">
        <v>139.31</v>
      </c>
      <c r="E81" s="8">
        <f t="shared" si="6"/>
        <v>-5.60236254668632E-3</v>
      </c>
      <c r="F81" s="12">
        <f t="shared" si="7"/>
        <v>5.9637307801533486E-3</v>
      </c>
      <c r="G81" s="12">
        <f t="shared" si="8"/>
        <v>-1.4141124111693337E-2</v>
      </c>
    </row>
    <row r="82" spans="1:7" x14ac:dyDescent="0.2">
      <c r="A82">
        <v>228.97</v>
      </c>
      <c r="B82" s="2">
        <v>247.96</v>
      </c>
      <c r="C82" s="2">
        <v>137.34</v>
      </c>
      <c r="E82" s="8">
        <f t="shared" si="6"/>
        <v>-6.5947504039830145E-3</v>
      </c>
      <c r="F82" s="12">
        <f t="shared" si="7"/>
        <v>6.8559445071780724E-4</v>
      </c>
      <c r="G82" s="12">
        <f t="shared" si="8"/>
        <v>-2.2498907820008761E-2</v>
      </c>
    </row>
    <row r="83" spans="1:7" x14ac:dyDescent="0.2">
      <c r="A83">
        <v>227.46</v>
      </c>
      <c r="B83" s="2">
        <v>248.13</v>
      </c>
      <c r="C83" s="2">
        <v>134.25</v>
      </c>
      <c r="E83" s="8">
        <f t="shared" si="6"/>
        <v>2.4048184296139974E-2</v>
      </c>
      <c r="F83" s="12">
        <f t="shared" si="7"/>
        <v>1.1727723370813672E-2</v>
      </c>
      <c r="G83" s="12">
        <f t="shared" si="8"/>
        <v>-1.6759776536312849E-2</v>
      </c>
    </row>
    <row r="84" spans="1:7" x14ac:dyDescent="0.2">
      <c r="A84">
        <v>232.93</v>
      </c>
      <c r="B84" s="2">
        <v>251.04</v>
      </c>
      <c r="C84" s="2">
        <v>132</v>
      </c>
      <c r="E84" s="8">
        <f t="shared" si="6"/>
        <v>-7.6417807925127767E-3</v>
      </c>
      <c r="F84" s="12">
        <f t="shared" si="7"/>
        <v>9.7195666029317954E-3</v>
      </c>
      <c r="G84" s="12">
        <f t="shared" si="8"/>
        <v>-1.21969696969698E-2</v>
      </c>
    </row>
    <row r="85" spans="1:7" x14ac:dyDescent="0.2">
      <c r="A85">
        <v>231.15</v>
      </c>
      <c r="B85" s="2">
        <v>253.48</v>
      </c>
      <c r="C85" s="2">
        <v>130.38999999999999</v>
      </c>
      <c r="E85" s="8">
        <f t="shared" si="6"/>
        <v>-4.5987454034176922E-2</v>
      </c>
      <c r="F85" s="12">
        <f t="shared" si="7"/>
        <v>-2.1421808426700249E-2</v>
      </c>
      <c r="G85" s="12">
        <f t="shared" si="8"/>
        <v>-1.1350563693534703E-2</v>
      </c>
    </row>
    <row r="86" spans="1:7" x14ac:dyDescent="0.2">
      <c r="A86">
        <v>220.52</v>
      </c>
      <c r="B86" s="2">
        <v>248.05</v>
      </c>
      <c r="C86" s="2">
        <v>128.91</v>
      </c>
      <c r="E86" s="8">
        <f t="shared" si="6"/>
        <v>1.2561218937057779E-2</v>
      </c>
      <c r="F86" s="12">
        <f t="shared" si="7"/>
        <v>7.0147147752468476E-3</v>
      </c>
      <c r="G86" s="12">
        <f t="shared" si="8"/>
        <v>1.373050965790094E-2</v>
      </c>
    </row>
    <row r="87" spans="1:7" x14ac:dyDescent="0.2">
      <c r="A87">
        <v>223.29</v>
      </c>
      <c r="B87" s="2">
        <v>249.79</v>
      </c>
      <c r="C87" s="2">
        <v>130.68</v>
      </c>
      <c r="E87" s="8">
        <f t="shared" si="6"/>
        <v>7.2999238658246922E-3</v>
      </c>
      <c r="F87" s="12">
        <f t="shared" si="7"/>
        <v>1.8815805276432271E-2</v>
      </c>
      <c r="G87" s="12">
        <f t="shared" si="8"/>
        <v>3.076216712580335E-2</v>
      </c>
    </row>
    <row r="88" spans="1:7" x14ac:dyDescent="0.2">
      <c r="A88">
        <v>224.92</v>
      </c>
      <c r="B88" s="2">
        <v>254.49</v>
      </c>
      <c r="C88" s="2">
        <v>134.69999999999999</v>
      </c>
      <c r="E88" s="8">
        <f t="shared" si="6"/>
        <v>6.2244353547934725E-4</v>
      </c>
      <c r="F88" s="12">
        <f t="shared" si="7"/>
        <v>3.0649534362843377E-3</v>
      </c>
      <c r="G88" s="12">
        <f t="shared" si="8"/>
        <v>3.6896807720861166E-2</v>
      </c>
    </row>
    <row r="89" spans="1:7" x14ac:dyDescent="0.2">
      <c r="A89">
        <v>225.06</v>
      </c>
      <c r="B89" s="2">
        <v>255.27</v>
      </c>
      <c r="C89" s="2">
        <v>139.66999999999999</v>
      </c>
      <c r="E89" s="8">
        <f t="shared" si="6"/>
        <v>1.7728605705145336E-2</v>
      </c>
      <c r="F89" s="12">
        <f t="shared" si="7"/>
        <v>1.147804285658314E-2</v>
      </c>
      <c r="G89" s="12">
        <f t="shared" si="8"/>
        <v>3.9378535118494411E-3</v>
      </c>
    </row>
    <row r="90" spans="1:7" x14ac:dyDescent="0.2">
      <c r="A90">
        <v>229.05</v>
      </c>
      <c r="B90" s="2">
        <v>258.2</v>
      </c>
      <c r="C90" s="2">
        <v>140.22</v>
      </c>
      <c r="E90" s="8">
        <f t="shared" si="6"/>
        <v>-8.7317179655097138E-3</v>
      </c>
      <c r="F90" s="12">
        <f t="shared" si="7"/>
        <v>3.1758326878388583E-3</v>
      </c>
      <c r="G90" s="12">
        <f t="shared" si="8"/>
        <v>-2.0681785765225506E-3</v>
      </c>
    </row>
    <row r="91" spans="1:7" x14ac:dyDescent="0.2">
      <c r="A91">
        <v>227.05</v>
      </c>
      <c r="B91" s="2">
        <v>259.02</v>
      </c>
      <c r="C91" s="2">
        <v>139.93</v>
      </c>
      <c r="E91" s="8">
        <f t="shared" si="6"/>
        <v>-1.4534243558687564E-2</v>
      </c>
      <c r="F91" s="12">
        <f t="shared" si="7"/>
        <v>-1.3242220677939846E-2</v>
      </c>
      <c r="G91" s="12">
        <f t="shared" si="8"/>
        <v>-2.0867576645465704E-2</v>
      </c>
    </row>
    <row r="92" spans="1:7" x14ac:dyDescent="0.2">
      <c r="A92">
        <v>223.75</v>
      </c>
      <c r="B92" s="2">
        <v>255.59</v>
      </c>
      <c r="C92" s="2">
        <v>137.01</v>
      </c>
      <c r="E92" s="8">
        <f t="shared" si="6"/>
        <v>-1.0949720670391011E-2</v>
      </c>
      <c r="F92" s="12">
        <f t="shared" si="7"/>
        <v>-1.3263429711647618E-2</v>
      </c>
      <c r="G92" s="12">
        <f t="shared" si="8"/>
        <v>3.5033939128532093E-3</v>
      </c>
    </row>
    <row r="93" spans="1:7" x14ac:dyDescent="0.2">
      <c r="A93" s="2">
        <v>221.3</v>
      </c>
      <c r="B93" s="2">
        <v>252.2</v>
      </c>
      <c r="C93" s="2">
        <v>137.49</v>
      </c>
      <c r="E93" s="8">
        <f t="shared" si="6"/>
        <v>-8.6308178942612959E-3</v>
      </c>
      <c r="F93" s="12">
        <f t="shared" si="7"/>
        <v>-7.0578905630452066E-3</v>
      </c>
      <c r="G93" s="12">
        <f t="shared" si="8"/>
        <v>-2.3274419957815238E-2</v>
      </c>
    </row>
    <row r="94" spans="1:7" x14ac:dyDescent="0.2">
      <c r="A94">
        <v>219.39</v>
      </c>
      <c r="B94" s="2">
        <v>250.42</v>
      </c>
      <c r="C94" s="2">
        <v>134.29</v>
      </c>
      <c r="E94" s="8">
        <f t="shared" si="6"/>
        <v>3.7832171019645954E-3</v>
      </c>
      <c r="F94" s="12">
        <f t="shared" si="7"/>
        <v>-2.6235923648270879E-2</v>
      </c>
      <c r="G94" s="12">
        <f t="shared" si="8"/>
        <v>2.9935214833569219E-2</v>
      </c>
    </row>
    <row r="95" spans="1:7" x14ac:dyDescent="0.2">
      <c r="A95">
        <v>220.22</v>
      </c>
      <c r="B95" s="2">
        <v>243.85</v>
      </c>
      <c r="C95" s="2">
        <v>138.31</v>
      </c>
      <c r="E95" s="8">
        <f t="shared" si="6"/>
        <v>1.8027427118336204E-2</v>
      </c>
      <c r="F95" s="12">
        <f t="shared" si="7"/>
        <v>-2.0094320278859165E-3</v>
      </c>
      <c r="G95" s="12">
        <f t="shared" si="8"/>
        <v>4.4537632853734341E-2</v>
      </c>
    </row>
    <row r="96" spans="1:7" x14ac:dyDescent="0.2">
      <c r="A96">
        <v>224.19</v>
      </c>
      <c r="B96" s="2">
        <v>243.36</v>
      </c>
      <c r="C96" s="2">
        <v>144.47</v>
      </c>
      <c r="E96" s="8">
        <f t="shared" si="6"/>
        <v>1.5254917703733512E-2</v>
      </c>
      <c r="F96" s="12">
        <f t="shared" si="7"/>
        <v>6.7389875082182211E-3</v>
      </c>
      <c r="G96" s="12">
        <f t="shared" si="8"/>
        <v>3.4332387346854072E-2</v>
      </c>
    </row>
    <row r="97" spans="1:7" x14ac:dyDescent="0.2">
      <c r="A97">
        <v>227.61</v>
      </c>
      <c r="B97" s="2">
        <v>245</v>
      </c>
      <c r="C97" s="2">
        <v>149.43</v>
      </c>
      <c r="E97" s="8">
        <f t="shared" si="6"/>
        <v>-2.4164140415623214E-2</v>
      </c>
      <c r="F97" s="12">
        <f t="shared" si="7"/>
        <v>-1.1387755102040783E-2</v>
      </c>
      <c r="G97" s="12">
        <f t="shared" si="8"/>
        <v>-6.2169577728702539E-2</v>
      </c>
    </row>
    <row r="98" spans="1:7" x14ac:dyDescent="0.2">
      <c r="A98">
        <v>222.11</v>
      </c>
      <c r="B98" s="2">
        <v>242.21</v>
      </c>
      <c r="C98" s="2">
        <v>140.13999999999999</v>
      </c>
      <c r="E98" s="8">
        <f t="shared" ref="E98:E126" si="9">(A99-A98)/A98</f>
        <v>9.0045472963764842E-5</v>
      </c>
      <c r="F98" s="12">
        <f t="shared" ref="F98:F126" si="10">(B99-B98)/B98</f>
        <v>2.0230378597084374E-3</v>
      </c>
      <c r="G98" s="12">
        <f t="shared" ref="G98:G126" si="11">(C99-C98)/C98</f>
        <v>-2.1407164264287653E-4</v>
      </c>
    </row>
    <row r="99" spans="1:7" x14ac:dyDescent="0.2">
      <c r="A99">
        <v>222.13</v>
      </c>
      <c r="B99" s="2">
        <v>242.7</v>
      </c>
      <c r="C99" s="2">
        <v>140.11000000000001</v>
      </c>
      <c r="E99" s="8">
        <f t="shared" si="9"/>
        <v>-1.4360959798316291E-2</v>
      </c>
      <c r="F99" s="12">
        <f t="shared" si="10"/>
        <v>-2.4103831891223712E-2</v>
      </c>
      <c r="G99" s="12">
        <f t="shared" si="11"/>
        <v>-2.997644707729653E-2</v>
      </c>
    </row>
    <row r="100" spans="1:7" x14ac:dyDescent="0.2">
      <c r="A100">
        <v>218.94</v>
      </c>
      <c r="B100" s="2">
        <v>236.85</v>
      </c>
      <c r="C100" s="2">
        <v>135.91</v>
      </c>
      <c r="E100" s="8">
        <f t="shared" si="9"/>
        <v>-2.1923814743764949E-3</v>
      </c>
      <c r="F100" s="12">
        <f t="shared" si="10"/>
        <v>-1.0344099641123025E-2</v>
      </c>
      <c r="G100" s="12">
        <f t="shared" si="11"/>
        <v>-1.9718931645942218E-2</v>
      </c>
    </row>
    <row r="101" spans="1:7" x14ac:dyDescent="0.2">
      <c r="A101">
        <v>218.46</v>
      </c>
      <c r="B101" s="2">
        <v>234.4</v>
      </c>
      <c r="C101" s="2">
        <v>133.22999999999999</v>
      </c>
      <c r="E101" s="8">
        <f t="shared" si="9"/>
        <v>-3.2042479172389319E-3</v>
      </c>
      <c r="F101" s="12">
        <f t="shared" si="10"/>
        <v>-4.7781569965870503E-3</v>
      </c>
      <c r="G101" s="12">
        <f t="shared" si="11"/>
        <v>-1.1033551002026564E-2</v>
      </c>
    </row>
    <row r="102" spans="1:7" x14ac:dyDescent="0.2">
      <c r="A102">
        <v>217.76</v>
      </c>
      <c r="B102" s="2">
        <v>233.28</v>
      </c>
      <c r="C102" s="2">
        <v>131.76</v>
      </c>
      <c r="E102" s="8">
        <f t="shared" si="9"/>
        <v>2.5670462894930215E-2</v>
      </c>
      <c r="F102" s="12">
        <f t="shared" si="10"/>
        <v>1.967592592592594E-2</v>
      </c>
      <c r="G102" s="12">
        <f t="shared" si="11"/>
        <v>3.4001214329083325E-2</v>
      </c>
    </row>
    <row r="103" spans="1:7" x14ac:dyDescent="0.2">
      <c r="A103">
        <v>223.35</v>
      </c>
      <c r="B103" s="2">
        <v>237.87</v>
      </c>
      <c r="C103" s="2">
        <v>136.24</v>
      </c>
      <c r="E103" s="8">
        <f t="shared" si="9"/>
        <v>-1.2043877322587857E-2</v>
      </c>
      <c r="F103" s="12">
        <f t="shared" si="10"/>
        <v>-4.0400218606802089E-2</v>
      </c>
      <c r="G103" s="12">
        <f t="shared" si="11"/>
        <v>-1.9597768643570285E-2</v>
      </c>
    </row>
    <row r="104" spans="1:7" x14ac:dyDescent="0.2">
      <c r="A104">
        <v>220.66</v>
      </c>
      <c r="B104" s="2">
        <v>228.26</v>
      </c>
      <c r="C104" s="2">
        <v>133.57</v>
      </c>
      <c r="E104" s="8">
        <f t="shared" si="9"/>
        <v>2.392821535393819E-2</v>
      </c>
      <c r="F104" s="12">
        <f t="shared" si="10"/>
        <v>7.5352668010163805E-3</v>
      </c>
      <c r="G104" s="12">
        <f t="shared" si="11"/>
        <v>3.0994983903571274E-2</v>
      </c>
    </row>
    <row r="105" spans="1:7" x14ac:dyDescent="0.2">
      <c r="A105">
        <v>225.94</v>
      </c>
      <c r="B105" s="2">
        <v>229.98</v>
      </c>
      <c r="C105" s="2">
        <v>137.71</v>
      </c>
      <c r="E105" s="8">
        <f t="shared" si="9"/>
        <v>2.1111799592812296E-2</v>
      </c>
      <c r="F105" s="12">
        <f t="shared" si="10"/>
        <v>-3.1915818766849305E-2</v>
      </c>
      <c r="G105" s="12">
        <f t="shared" si="11"/>
        <v>2.2656306731537321E-2</v>
      </c>
    </row>
    <row r="106" spans="1:7" x14ac:dyDescent="0.2">
      <c r="A106">
        <v>230.71</v>
      </c>
      <c r="B106" s="2">
        <v>222.64</v>
      </c>
      <c r="C106" s="2">
        <v>140.83000000000001</v>
      </c>
      <c r="E106" s="8">
        <f t="shared" si="9"/>
        <v>1.8638117116726551E-2</v>
      </c>
      <c r="F106" s="12">
        <f t="shared" si="10"/>
        <v>5.3449514911966681E-3</v>
      </c>
      <c r="G106" s="12">
        <f t="shared" si="11"/>
        <v>4.4308741035290637E-2</v>
      </c>
    </row>
    <row r="107" spans="1:7" x14ac:dyDescent="0.2">
      <c r="A107">
        <v>235.01</v>
      </c>
      <c r="B107" s="2">
        <v>223.83</v>
      </c>
      <c r="C107" s="2">
        <v>147.07</v>
      </c>
      <c r="E107" s="8">
        <f t="shared" si="9"/>
        <v>1.7446066124845606E-3</v>
      </c>
      <c r="F107" s="12">
        <f t="shared" si="10"/>
        <v>-7.5950498145921418E-4</v>
      </c>
      <c r="G107" s="12">
        <f t="shared" si="11"/>
        <v>1.0199224858911109E-3</v>
      </c>
    </row>
    <row r="108" spans="1:7" x14ac:dyDescent="0.2">
      <c r="A108">
        <v>235.42</v>
      </c>
      <c r="B108" s="2">
        <v>223.66</v>
      </c>
      <c r="C108" s="2">
        <v>147.22</v>
      </c>
      <c r="E108" s="8">
        <f t="shared" si="9"/>
        <v>-2.4212046555092737E-3</v>
      </c>
      <c r="F108" s="12">
        <f t="shared" si="10"/>
        <v>-3.934543503532127E-3</v>
      </c>
      <c r="G108" s="12">
        <f t="shared" si="11"/>
        <v>-3.1245754652900384E-2</v>
      </c>
    </row>
    <row r="109" spans="1:7" x14ac:dyDescent="0.2">
      <c r="A109">
        <v>234.85</v>
      </c>
      <c r="B109" s="2">
        <v>222.78</v>
      </c>
      <c r="C109" s="2">
        <v>142.62</v>
      </c>
      <c r="E109" s="8">
        <f t="shared" si="9"/>
        <v>2.4270811156056767E-3</v>
      </c>
      <c r="F109" s="12">
        <f t="shared" si="10"/>
        <v>3.1780231618637279E-2</v>
      </c>
      <c r="G109" s="12">
        <f t="shared" si="11"/>
        <v>-0.1696816715748142</v>
      </c>
    </row>
    <row r="110" spans="1:7" x14ac:dyDescent="0.2">
      <c r="A110">
        <v>235.42</v>
      </c>
      <c r="B110" s="2">
        <v>229.86</v>
      </c>
      <c r="C110" s="2">
        <v>118.42</v>
      </c>
      <c r="E110" s="8">
        <f t="shared" si="9"/>
        <v>1.1596295981649895E-2</v>
      </c>
      <c r="F110" s="12">
        <f t="shared" si="10"/>
        <v>3.6543983294178961E-2</v>
      </c>
      <c r="G110" s="12">
        <f t="shared" si="11"/>
        <v>8.9258571187299504E-2</v>
      </c>
    </row>
    <row r="111" spans="1:7" x14ac:dyDescent="0.2">
      <c r="A111">
        <v>238.15</v>
      </c>
      <c r="B111" s="2">
        <v>238.26</v>
      </c>
      <c r="C111" s="2">
        <v>128.99</v>
      </c>
      <c r="E111" s="8">
        <f t="shared" si="9"/>
        <v>-4.5349569598992752E-3</v>
      </c>
      <c r="F111" s="12">
        <f t="shared" si="10"/>
        <v>4.6168051708218869E-3</v>
      </c>
      <c r="G111" s="12">
        <f t="shared" si="11"/>
        <v>-4.1010931079928724E-2</v>
      </c>
    </row>
    <row r="112" spans="1:7" x14ac:dyDescent="0.2">
      <c r="A112">
        <v>237.07</v>
      </c>
      <c r="B112" s="2">
        <v>239.36</v>
      </c>
      <c r="C112" s="2">
        <v>123.7</v>
      </c>
      <c r="E112" s="8">
        <f t="shared" si="9"/>
        <v>-1.0250137090310908E-2</v>
      </c>
      <c r="F112" s="12">
        <f t="shared" si="10"/>
        <v>-7.394719251336941E-3</v>
      </c>
      <c r="G112" s="12">
        <f t="shared" si="11"/>
        <v>7.6798706548100474E-3</v>
      </c>
    </row>
    <row r="113" spans="1:7" x14ac:dyDescent="0.2">
      <c r="A113">
        <v>234.64</v>
      </c>
      <c r="B113" s="2">
        <v>237.59</v>
      </c>
      <c r="C113" s="2">
        <v>124.65</v>
      </c>
      <c r="E113" s="8">
        <f t="shared" si="9"/>
        <v>1.2956017729287507E-2</v>
      </c>
      <c r="F113" s="12">
        <f t="shared" si="10"/>
        <v>-6.6922008502041472E-3</v>
      </c>
      <c r="G113" s="12">
        <f t="shared" si="11"/>
        <v>-3.6742880064179799E-2</v>
      </c>
    </row>
    <row r="114" spans="1:7" x14ac:dyDescent="0.2">
      <c r="A114">
        <v>237.68</v>
      </c>
      <c r="B114" s="2">
        <v>236</v>
      </c>
      <c r="C114" s="2">
        <v>120.07</v>
      </c>
      <c r="E114" s="8">
        <f t="shared" si="9"/>
        <v>-1.0939077751599602E-3</v>
      </c>
      <c r="F114" s="12">
        <f t="shared" si="10"/>
        <v>-3.3855932203389866E-2</v>
      </c>
      <c r="G114" s="12">
        <f t="shared" si="11"/>
        <v>-2.8400099941700646E-2</v>
      </c>
    </row>
    <row r="115" spans="1:7" x14ac:dyDescent="0.2">
      <c r="A115">
        <v>237.42</v>
      </c>
      <c r="B115" s="2">
        <v>228.01</v>
      </c>
      <c r="C115" s="2">
        <v>116.66</v>
      </c>
      <c r="E115" s="8">
        <f t="shared" si="9"/>
        <v>1.9543425153736058E-2</v>
      </c>
      <c r="F115" s="12">
        <f t="shared" si="10"/>
        <v>2.1007850532871457E-2</v>
      </c>
      <c r="G115" s="12">
        <f t="shared" si="11"/>
        <v>1.7058117606720463E-2</v>
      </c>
    </row>
    <row r="116" spans="1:7" x14ac:dyDescent="0.2">
      <c r="A116">
        <v>242.06</v>
      </c>
      <c r="B116" s="2">
        <v>232.8</v>
      </c>
      <c r="C116" s="2">
        <v>118.65</v>
      </c>
      <c r="E116" s="8">
        <f t="shared" si="9"/>
        <v>-2.4332810047095824E-2</v>
      </c>
      <c r="F116" s="12">
        <f t="shared" si="10"/>
        <v>-1.41752577319593E-3</v>
      </c>
      <c r="G116" s="12">
        <f t="shared" si="11"/>
        <v>5.208596713021485E-2</v>
      </c>
    </row>
    <row r="117" spans="1:7" x14ac:dyDescent="0.2">
      <c r="A117">
        <v>236.17</v>
      </c>
      <c r="B117" s="2">
        <v>232.47</v>
      </c>
      <c r="C117" s="2">
        <v>124.83</v>
      </c>
      <c r="E117" s="8">
        <f t="shared" si="9"/>
        <v>1.1263073209975971E-2</v>
      </c>
      <c r="F117" s="12">
        <f t="shared" si="10"/>
        <v>3.2262227384178602E-3</v>
      </c>
      <c r="G117" s="12">
        <f t="shared" si="11"/>
        <v>3.0841945045261623E-2</v>
      </c>
    </row>
    <row r="118" spans="1:7" x14ac:dyDescent="0.2">
      <c r="A118">
        <v>238.83</v>
      </c>
      <c r="B118" s="2">
        <v>233.22</v>
      </c>
      <c r="C118" s="2">
        <v>128.68</v>
      </c>
      <c r="E118" s="8">
        <f t="shared" si="9"/>
        <v>-4.053092157601644E-2</v>
      </c>
      <c r="F118" s="12">
        <f t="shared" si="10"/>
        <v>-2.396878483835007E-2</v>
      </c>
      <c r="G118" s="12">
        <f t="shared" si="11"/>
        <v>9.0146098849859854E-3</v>
      </c>
    </row>
    <row r="119" spans="1:7" x14ac:dyDescent="0.2">
      <c r="A119">
        <v>229.15</v>
      </c>
      <c r="B119" s="2">
        <v>227.63</v>
      </c>
      <c r="C119" s="2">
        <v>129.84</v>
      </c>
      <c r="E119" s="8">
        <f t="shared" si="9"/>
        <v>1.7412175430940348E-2</v>
      </c>
      <c r="F119" s="12">
        <f t="shared" si="10"/>
        <v>8.7861881122919789E-5</v>
      </c>
      <c r="G119" s="12">
        <f t="shared" si="11"/>
        <v>2.8727664818237752E-2</v>
      </c>
    </row>
    <row r="120" spans="1:7" x14ac:dyDescent="0.2">
      <c r="A120">
        <v>233.14</v>
      </c>
      <c r="B120" s="2">
        <v>227.65</v>
      </c>
      <c r="C120" s="2">
        <v>133.57</v>
      </c>
      <c r="E120" s="8">
        <f t="shared" si="9"/>
        <v>-1.6299219353178153E-3</v>
      </c>
      <c r="F120" s="12">
        <f t="shared" si="10"/>
        <v>2.1831759279595866E-2</v>
      </c>
      <c r="G120" s="12">
        <f t="shared" si="11"/>
        <v>-5.7647675376205874E-3</v>
      </c>
    </row>
    <row r="121" spans="1:7" x14ac:dyDescent="0.2">
      <c r="A121">
        <v>232.76</v>
      </c>
      <c r="B121" s="2">
        <v>232.62</v>
      </c>
      <c r="C121" s="2">
        <v>132.80000000000001</v>
      </c>
      <c r="E121" s="8">
        <f t="shared" si="9"/>
        <v>-1.6454717305378862E-2</v>
      </c>
      <c r="F121" s="12">
        <f t="shared" si="10"/>
        <v>1.8270140142722036E-2</v>
      </c>
      <c r="G121" s="12">
        <f t="shared" si="11"/>
        <v>-1.2500000000000188E-2</v>
      </c>
    </row>
    <row r="122" spans="1:7" x14ac:dyDescent="0.2">
      <c r="A122">
        <v>228.93</v>
      </c>
      <c r="B122" s="2">
        <v>236.87</v>
      </c>
      <c r="C122" s="2">
        <v>131.13999999999999</v>
      </c>
      <c r="E122" s="8">
        <f t="shared" si="9"/>
        <v>6.2901323548682905E-3</v>
      </c>
      <c r="F122" s="12">
        <f t="shared" si="10"/>
        <v>1.9673238485245055E-2</v>
      </c>
      <c r="G122" s="12">
        <f t="shared" si="11"/>
        <v>3.1645569620253208E-2</v>
      </c>
    </row>
    <row r="123" spans="1:7" x14ac:dyDescent="0.2">
      <c r="A123">
        <v>230.37</v>
      </c>
      <c r="B123" s="2">
        <v>241.53</v>
      </c>
      <c r="C123" s="2">
        <v>135.29</v>
      </c>
      <c r="E123" s="8">
        <f t="shared" si="9"/>
        <v>-7.3360246559881831E-3</v>
      </c>
      <c r="F123" s="12">
        <f t="shared" si="10"/>
        <v>1.2710636359872452E-2</v>
      </c>
      <c r="G123" s="12">
        <f t="shared" si="11"/>
        <v>2.6313844334392805E-2</v>
      </c>
    </row>
    <row r="124" spans="1:7" x14ac:dyDescent="0.2">
      <c r="A124">
        <v>228.68</v>
      </c>
      <c r="B124" s="2">
        <v>244.6</v>
      </c>
      <c r="C124" s="2">
        <v>138.85</v>
      </c>
      <c r="E124" s="8">
        <f t="shared" si="9"/>
        <v>-8.877033409130668E-3</v>
      </c>
      <c r="F124" s="12">
        <f t="shared" si="10"/>
        <v>-5.3147996729352193E-4</v>
      </c>
      <c r="G124" s="12">
        <f t="shared" si="11"/>
        <v>3.9611091105510362E-3</v>
      </c>
    </row>
    <row r="125" spans="1:7" x14ac:dyDescent="0.2">
      <c r="A125">
        <v>226.65</v>
      </c>
      <c r="B125">
        <v>244.47</v>
      </c>
      <c r="C125" s="2">
        <v>139.4</v>
      </c>
      <c r="E125" s="8">
        <f t="shared" si="9"/>
        <v>-8.824178248405132E-5</v>
      </c>
      <c r="F125" s="12">
        <f t="shared" si="10"/>
        <v>1.6361925798666736E-3</v>
      </c>
      <c r="G125" s="12">
        <f t="shared" si="11"/>
        <v>-1.2195121951220653E-3</v>
      </c>
    </row>
    <row r="126" spans="1:7" x14ac:dyDescent="0.2">
      <c r="A126">
        <v>226.63</v>
      </c>
      <c r="B126">
        <v>244.87</v>
      </c>
      <c r="C126" s="2">
        <v>139.22999999999999</v>
      </c>
      <c r="E126" s="8">
        <f t="shared" si="9"/>
        <v>-1.6546794334377619E-2</v>
      </c>
      <c r="F126" s="12">
        <f t="shared" si="10"/>
        <v>3.9204475844325888E-3</v>
      </c>
      <c r="G126" s="12">
        <f t="shared" si="11"/>
        <v>6.3204769087123747E-3</v>
      </c>
    </row>
    <row r="127" spans="1:7" x14ac:dyDescent="0.2">
      <c r="A127">
        <v>222.88</v>
      </c>
      <c r="B127">
        <v>245.83</v>
      </c>
      <c r="C127" s="2">
        <v>140.11000000000001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A2245-6751-514E-AF08-E9A5B7BEFCD2}">
  <sheetPr codeName="Sheet5"/>
  <dimension ref="A1:G3"/>
  <sheetViews>
    <sheetView workbookViewId="0">
      <selection activeCell="C8" sqref="C8"/>
    </sheetView>
  </sheetViews>
  <sheetFormatPr baseColWidth="10" defaultRowHeight="16" x14ac:dyDescent="0.2"/>
  <sheetData>
    <row r="1" spans="1:7" x14ac:dyDescent="0.2">
      <c r="B1" t="s">
        <v>21</v>
      </c>
      <c r="C1" t="s">
        <v>22</v>
      </c>
      <c r="E1" s="20"/>
      <c r="F1" s="20" t="s">
        <v>18</v>
      </c>
      <c r="G1" s="20" t="s">
        <v>20</v>
      </c>
    </row>
    <row r="2" spans="1:7" x14ac:dyDescent="0.2">
      <c r="A2" t="s">
        <v>18</v>
      </c>
      <c r="B2" s="9">
        <v>7.4799999999999997E-4</v>
      </c>
      <c r="C2" s="10">
        <v>9.7299999999999998E-2</v>
      </c>
      <c r="E2" s="21" t="s">
        <v>18</v>
      </c>
      <c r="F2" s="22">
        <f>VARP('Covariance &amp; GMVP'!$F$2:$F$1048576)</f>
        <v>1.862309365214976E-4</v>
      </c>
      <c r="G2" s="22">
        <v>0</v>
      </c>
    </row>
    <row r="3" spans="1:7" x14ac:dyDescent="0.2">
      <c r="A3" t="s">
        <v>20</v>
      </c>
      <c r="B3" s="8">
        <v>1.3090000000000001E-3</v>
      </c>
      <c r="C3" s="10">
        <v>0.1081</v>
      </c>
      <c r="E3" s="21" t="s">
        <v>20</v>
      </c>
      <c r="F3" s="22">
        <v>9.0431518500528119E-5</v>
      </c>
      <c r="G3" s="22">
        <f>VARP('Covariance &amp; GMVP'!$G$2:$G$1048576)</f>
        <v>1.0483193468123703E-3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AMZN</vt:lpstr>
      <vt:lpstr>AAPL</vt:lpstr>
      <vt:lpstr>NVDA</vt:lpstr>
      <vt:lpstr>Covariance &amp; GMVP</vt:lpstr>
      <vt:lpstr>ORP &amp; OCP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Mohammed-Ayub Choudhury</dc:creator>
  <cp:lastModifiedBy>Mohammed-Ayub Choudhury</cp:lastModifiedBy>
  <cp:lastPrinted>2025-03-12T00:16:10Z</cp:lastPrinted>
  <dcterms:created xsi:type="dcterms:W3CDTF">2025-03-11T17:18:19Z</dcterms:created>
  <dcterms:modified xsi:type="dcterms:W3CDTF">2025-03-12T01:30:27Z</dcterms:modified>
</cp:coreProperties>
</file>